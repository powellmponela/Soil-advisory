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cgiar-my.sharepoint.com/personal/p_mponela_cgiar_org/Documents/CIMMYT/Fund raising/2026 CNs/USG/Indo-pacific agrifood productivity/"/>
    </mc:Choice>
  </mc:AlternateContent>
  <xr:revisionPtr revIDLastSave="741" documentId="8_{0DC2EA8A-740E-4745-A652-2BD4B3C04912}" xr6:coauthVersionLast="47" xr6:coauthVersionMax="47" xr10:uidLastSave="{A6B465DB-DA59-4E38-AD71-1B8D55281A32}"/>
  <bookViews>
    <workbookView xWindow="-108" yWindow="-108" windowWidth="23256" windowHeight="13896" activeTab="2" xr2:uid="{E9DA4AFB-C9BA-4E07-8039-4B625558EB96}"/>
  </bookViews>
  <sheets>
    <sheet name="Activity Level" sheetId="1" r:id="rId1"/>
    <sheet name="Work Package Level" sheetId="2" r:id="rId2"/>
    <sheet name="Sheet1"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3" i="3" l="1"/>
  <c r="I89" i="3"/>
  <c r="I88" i="3"/>
  <c r="I87" i="3"/>
  <c r="I86" i="3"/>
  <c r="F85" i="3"/>
  <c r="I85" i="3" s="1"/>
  <c r="F84" i="3"/>
  <c r="I84" i="3" s="1"/>
  <c r="F83" i="3"/>
  <c r="I83" i="3" s="1"/>
  <c r="I82" i="3" s="1"/>
  <c r="F81" i="3"/>
  <c r="I81" i="3" s="1"/>
  <c r="F80" i="3"/>
  <c r="I80" i="3" s="1"/>
  <c r="F79" i="3"/>
  <c r="I79" i="3" s="1"/>
  <c r="F78" i="3"/>
  <c r="I78" i="3" s="1"/>
  <c r="I77" i="3" s="1"/>
  <c r="I76" i="3" s="1"/>
  <c r="I74" i="3"/>
  <c r="I73" i="3"/>
  <c r="I72" i="3"/>
  <c r="I70" i="3"/>
  <c r="I69" i="3"/>
  <c r="I68" i="3"/>
  <c r="I67" i="3"/>
  <c r="I66" i="3"/>
  <c r="I65" i="3"/>
  <c r="I64" i="3"/>
  <c r="I63" i="3"/>
  <c r="I62" i="3"/>
  <c r="I61" i="3"/>
  <c r="I60" i="3"/>
  <c r="I93" i="3" s="1"/>
  <c r="I58" i="3"/>
  <c r="I57" i="3"/>
  <c r="I56" i="3"/>
  <c r="I55" i="3"/>
  <c r="I50" i="3" s="1"/>
  <c r="I54" i="3"/>
  <c r="I53" i="3"/>
  <c r="I52" i="3"/>
  <c r="I51" i="3"/>
  <c r="I48" i="3"/>
  <c r="I47" i="3"/>
  <c r="I46" i="3"/>
  <c r="I45" i="3"/>
  <c r="I44"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2" i="3"/>
  <c r="I11" i="3"/>
  <c r="I10" i="3"/>
  <c r="B98" i="3" s="1"/>
  <c r="I9" i="3"/>
  <c r="I43" i="3" s="1"/>
  <c r="I8" i="3"/>
  <c r="I7" i="3"/>
  <c r="I6" i="3"/>
  <c r="I5" i="3"/>
  <c r="I4" i="3"/>
  <c r="I3" i="3"/>
  <c r="I91" i="3" l="1"/>
  <c r="I92" i="3" s="1"/>
  <c r="I94" i="3" s="1"/>
  <c r="I95" i="3" s="1"/>
  <c r="I96" i="3" s="1"/>
  <c r="I97" i="3" s="1"/>
  <c r="E15" i="2" l="1"/>
  <c r="C48" i="2"/>
  <c r="D40" i="2"/>
  <c r="D32" i="2"/>
  <c r="D19" i="2"/>
  <c r="D8" i="2"/>
  <c r="G2" i="2"/>
  <c r="E2" i="2"/>
  <c r="D2" i="2"/>
  <c r="C2" i="1"/>
  <c r="B2" i="1"/>
</calcChain>
</file>

<file path=xl/sharedStrings.xml><?xml version="1.0" encoding="utf-8"?>
<sst xmlns="http://schemas.openxmlformats.org/spreadsheetml/2006/main" count="443" uniqueCount="274">
  <si>
    <t>Work Package</t>
  </si>
  <si>
    <r>
      <t>Key Activity</t>
    </r>
    <r>
      <rPr>
        <sz val="12"/>
        <rFont val="Times New Roman"/>
        <family val="1"/>
      </rPr>
      <t> </t>
    </r>
  </si>
  <si>
    <t>Deliverable/Outputs</t>
  </si>
  <si>
    <t>Activity lead 
FTE)</t>
  </si>
  <si>
    <t>Contributors 
FTE)</t>
  </si>
  <si>
    <t>FTE estimate
IRS-
NRS-</t>
  </si>
  <si>
    <t>Supplies and Services
US$)</t>
  </si>
  <si>
    <t>Partners grant)/ consultant fee)
US$)</t>
  </si>
  <si>
    <t>Co-Financing in 2026 
US$)</t>
  </si>
  <si>
    <t>Co-Financing donor</t>
  </si>
  <si>
    <t>Possible Future Funding
Source &amp;US$)</t>
  </si>
  <si>
    <t>Jan</t>
  </si>
  <si>
    <t>Feb</t>
  </si>
  <si>
    <t>Mar</t>
  </si>
  <si>
    <t>Apr</t>
  </si>
  <si>
    <t>May</t>
  </si>
  <si>
    <t>Jun</t>
  </si>
  <si>
    <t>Jul</t>
  </si>
  <si>
    <t>Aug</t>
  </si>
  <si>
    <t>Sep</t>
  </si>
  <si>
    <t>Oct</t>
  </si>
  <si>
    <t>Nov</t>
  </si>
  <si>
    <t>Dec</t>
  </si>
  <si>
    <t>Overall</t>
  </si>
  <si>
    <t>Dyutiman (...)</t>
  </si>
  <si>
    <t>Work package 1: Strengthening Regional and Scientific Cooperation </t>
  </si>
  <si>
    <t>GMP: Zaidi</t>
  </si>
  <si>
    <t>1.1 Mapping maize mega-environment in Indo-Pacific and develop climate-similarity mapping for targeted development, deployment and delivery of weatherproof maize technologies </t>
  </si>
  <si>
    <t>1.1  Map of major maize mega-environments in the Indo-Pacific region, along with climate similarity mapping for effective and efficient multilocation testing for the stage-gate advancement process. </t>
  </si>
  <si>
    <t>Zaidi</t>
  </si>
  <si>
    <t>Powell, Maxwell, Sreejith</t>
  </si>
  <si>
    <t>Design</t>
  </si>
  <si>
    <t>Design, Data</t>
  </si>
  <si>
    <t>Data, Model</t>
  </si>
  <si>
    <t>Model, Analysis</t>
  </si>
  <si>
    <t>Report</t>
  </si>
  <si>
    <t>Validation</t>
  </si>
  <si>
    <t>Revision</t>
  </si>
  <si>
    <t>1.2 Designing mega-environment specific product profiles for Indo-Pacific region for targeted breeding of best-suitable high-yielding maize with stable performance under variable weather conditions.  </t>
  </si>
  <si>
    <t>1.2 Agroecoregion-specific maize product profiles for various agro-ecologies in Indo-Pacific with a trait matrix of defined MUST-HAVE and GOOD-TO-HAVE trait profiles.  </t>
  </si>
  <si>
    <t>Abdu, LRS</t>
  </si>
  <si>
    <t>1.3 Collate research backed evidence on the equitable livelihood and food security benefits of maize-based diversified farming systems for households headed by women, men, and young people in Nepal and India for generating investments and facilitating policy decisions on promoting diversified maize-based farming.   </t>
  </si>
  <si>
    <t>1.3 One technical report on livelihoods benefits from diversified maize based systems prepared </t>
  </si>
  <si>
    <t>Adeeth</t>
  </si>
  <si>
    <t>Ravi, Dyutiman, Bharathi , Narayan</t>
  </si>
  <si>
    <t>10500 (Adeeth)</t>
  </si>
  <si>
    <t>1500 (Adeeth)</t>
  </si>
  <si>
    <t>NA</t>
  </si>
  <si>
    <t>Data cleaning</t>
  </si>
  <si>
    <t>Data analysis</t>
  </si>
  <si>
    <t>Draft paper/report</t>
  </si>
  <si>
    <t>Review</t>
  </si>
  <si>
    <t>Paper/report published</t>
  </si>
  <si>
    <t>1.4 Forge strategic research partnerships and exchange on maize sector improvement with ACIAR, KOICA and JICA through exchange programs, joint assessments and new project development. </t>
  </si>
  <si>
    <t>1.4 A report on strategic engagement for regional and national maize sector improvement developed with ACIAR, KOICA and JICA. </t>
  </si>
  <si>
    <t>Dyutiman</t>
  </si>
  <si>
    <t>Mahesh, Owen , Alison, Ravi, Amjath, Powell, Zaidi, Abdu</t>
  </si>
  <si>
    <t>Work package 2: Farm Productivity Improvement  </t>
  </si>
  <si>
    <t>Mahesh</t>
  </si>
  <si>
    <t>2.1 Deriving new maize hybrids from genomic-assisted product pipelines, early generation evaluation in delineated maize zone for respective profile and multilocation evaluation for stage-gate advancement process </t>
  </si>
  <si>
    <t>2.1.1 A set of stage-1 crosses evaluated across locations in S &amp; SE Asia at best representative sites for further advancement through stage-gate process.
2.1.2 At least two trainings-cum-workshop on genomic-assisted accelerated breeding organized for NARS partners in the region, and training module developed for open-access platform.   </t>
  </si>
  <si>
    <t>Abdu</t>
  </si>
  <si>
    <t>2.2 Widening the CIMMYT maize network in Southeast Asia, especially Indonesia, Laos, Myanmar &amp; Philippines, by developing, testing and delivering high-yielding stress-adaptive maize hybrids and associated breeding technologies in partnership with NARS.   </t>
  </si>
  <si>
    <t>2.2 A set of advanced-stage stress-resilient maize hybrids from CIMMYT-Asia maize program tested in Southeast Asian countries, and first batch of potential hybrids identified for the region.   </t>
  </si>
  <si>
    <t>2.3 Integrate doubled-haploid (DH) technology in NARS &amp; SME breeding pipeline by providing DH service from CIMMYT’s DH facility at Kunigal, India as well as technical know-how </t>
  </si>
  <si>
    <t>2.3 Doubled haploid lines (close to 5000)  developed at CIMMYT’s DH facility in India from an estimated 50 maize populations of collaborating NARS in South and South East Asia primarily from India and Philippines NARS and made available for fast-tracking their breeding program with reduced breeding cycle time.  </t>
  </si>
  <si>
    <t>2.4 Product announcement and licensing for commercialization and pre-release validation through on-farm participatory testing with women, men, and young farmers selected with probability sampling methods, where feasible. </t>
  </si>
  <si>
    <t>2.4 At least two robust weatherproofing maize hybrids identified for each targeted country in the region and formally announced for licensing at CIMMYT website. </t>
  </si>
  <si>
    <t>2.5 Develop spatial seasonal maize yield gap analysis and seasonal maize cultivation suitability mapping across South and Southeast Asia. </t>
  </si>
  <si>
    <t>2.5 Four Policy briefs and working papers for investments in seed, soil fertility management, and machinery for sustainable and resilient maize sector developed. </t>
  </si>
  <si>
    <t>Powell , Sagar, Ravi, Alison, Sreejith,
Owen</t>
  </si>
  <si>
    <t>2.6 Develop the working paper on good agronomic management practices (efficient water and nutrient management) and restore soil health for sustainable and resilient targeted maize production systems.   </t>
  </si>
  <si>
    <t>Saiful, Faisal, Alison,Sagar</t>
  </si>
  <si>
    <t>2.7 Identify options for diversified and resilient production systems by intercropping with legumes and determine suitability for additive intercropping with different intercrops in different agroecologies across Nepal, Bangladesh, India. </t>
  </si>
  <si>
    <t>2.5 A working paper on performance  of inter-cropping configurations across agro-ecologies to enhance diversification and resilience  of maize sector developed. </t>
  </si>
  <si>
    <t>Alison</t>
  </si>
  <si>
    <t>Sonam, Powell, Sagar, Pankaj</t>
  </si>
  <si>
    <t>Design &amp; Data</t>
  </si>
  <si>
    <t>Data</t>
  </si>
  <si>
    <t>Models</t>
  </si>
  <si>
    <t>Analysis</t>
  </si>
  <si>
    <t>2.8 Conduct TOTs on seed, soil fertility and irrigation management bundles with private actors, extension agents and lead farmers, involving women, men, and young people among both trainers and trainees, for improved maize production in 20,000 ha in Nepal  </t>
  </si>
  <si>
    <t xml:space="preserve">2.8 Farmers increase yield by 20%, on average, compared to baseline 2020 in Nepal. 
2.7 About 20,000 women, men, and young farmers, in proportions reflective of their population sizes, benefit from improved maize production technologies in Nepal. </t>
  </si>
  <si>
    <t>Narayan, Sagar, Pankaj</t>
  </si>
  <si>
    <t>2.9 Implement CIMMYTs e-agrology digital platform for monitoring maize production, assessing cost benefits and marketing in two pilot sites of Nepal </t>
  </si>
  <si>
    <t>2.6.	Cost benefit of improved maize technology application evaluated through the e agrology platform</t>
  </si>
  <si>
    <t>2.10 Develop investment roadmaps for the private sector for localized seed systems, improved mechanization services, and efficient fertilizer management for Bangladesh, India and Nepal.  </t>
  </si>
  <si>
    <t xml:space="preserve">2.5 Five Policy briefs and working papers for investments in seed, soil fertility management, inter-cropping and machinery for sustainable and resilient maize sector developed. </t>
  </si>
  <si>
    <t>Ravi</t>
  </si>
  <si>
    <t>Dyutiman, Amjath, Sreejith, Bharathi, Owen, Mahesh</t>
  </si>
  <si>
    <t>Work package 3: Integrated maize seed systems innovations and transformation</t>
  </si>
  <si>
    <t>3.1 Strengthen seed companies capacity for compliant hybrid seed production, seed certification, and seed business management  </t>
  </si>
  <si>
    <t>3.1 Digitally enabled national seed information systems piloted in Bangladesh, the Philippines, and Nepal, incorporating AI-enabled features and interoperability with existing public and private digital platforms. </t>
  </si>
  <si>
    <t>Abdu (...)</t>
  </si>
  <si>
    <t>Zaidi, Nick, Aparna, Remy, DESIS consultant, LRS consultant: Bharathi; Bangladesh LRS-2</t>
  </si>
  <si>
    <t>3.2 Assess the status of maize seed systems across the Indo-Pacific to identify gaps, inform policy dialogue, and support harmonization of regulatory and operational approaches across the region. </t>
  </si>
  <si>
    <t>3.2 Conduct at least three orientation and validation workshops on the digitally enabled seed information system to familiarize end users and validate functionality and usability. </t>
  </si>
  <si>
    <t>Zaidi, Nick, Aparna, Remy, DESIS consultant, LRS consultant:</t>
  </si>
  <si>
    <t>3.3 Develop and enhance interoperable digital seed information system for varietal tracking, seed demand-supply analysis, and data driven varietal choices by end users in Bangladesh, Nepal and Philippines. </t>
  </si>
  <si>
    <t>3.3 At least three national-level and two regional-level technical training and experience-sharing events are conducted to strengthen capacities across maize seed system stakeholders. </t>
  </si>
  <si>
    <t>Zaidi, Nagesh, Nick, Aparna, Remy, IRS consultant, LRS consultant:</t>
  </si>
  <si>
    <t>3.4 Facilitate regional dialogue among regulators, seed companies, and seed trade associations to reduce barriers to cross-border seed production and trade.  </t>
  </si>
  <si>
    <t>3.4 One regional policy and market dialogue convened to facilitate maize seed trade and regulatory coordination across the Indo-Pacific. </t>
  </si>
  <si>
    <t>3.5 Provide training and ongoing support to women, men, and young people engaged in seed production, distribution, and use to strengthen digital skills needed to access and apply information from digital seed information systems and related platforms.  </t>
  </si>
  <si>
    <t>3.5 A comprehensive Indo-Pacific maize seed systems status report produced to inform policy, investment, and future program design. </t>
  </si>
  <si>
    <t>Zaidi, Nagesh, Nick, Aparna, Remy, IRS consultant, LRS consultant (6), Bharathi, Dyutiman</t>
  </si>
  <si>
    <t>3.6 Organize tailor-made training for NARS and seed companies on quality seed production and seed business management in Bangladesh, India, Nepal and Philippines. </t>
  </si>
  <si>
    <t>3.6 Seed system innovations will reflect demand signals and varietal choices of farmers across target markets.   </t>
  </si>
  <si>
    <t>Zaidi, Nick, Aparna, Remy, IRS consultant, LRS consultant (6):</t>
  </si>
  <si>
    <t>3.7 Support NARS and national seed companies to improve seed demand forecasting, multiplication planning, and quality assurance through innovative seed systems tools.  </t>
  </si>
  <si>
    <t>Work package 4: Market Development and Access </t>
  </si>
  <si>
    <t>4.1 Document emerging changes in the maize market systems (food, feed, silage and biofuels) in the Indo Pacific region and key drivers of growth influencing maize value chain dynamics on production, processing, and marketing to inform pro-commercialization development interventions. </t>
  </si>
  <si>
    <t>4.1 A “Maize for Asia” report on CIMMYT contributions, production and market trends and future outlook prepared and shared among maize sector stakeholders in the region 
4.2 Five National maize value chain reports with recommendations for scaling and investment options shared </t>
  </si>
  <si>
    <t>Zaidi, Ravi, Adeeth, Sreejith, Mahesh, Narayan, Pankaj, Abdu</t>
  </si>
  <si>
    <t>4.2 Consolidate and upgrade CIMMYT Nepal’s digital platforms (krishiprabidhi.net) to function as maize data warehouse and facilitate data analysis, and explore AI-based applications with Ag Tech startups for improved maize market information systems.  </t>
  </si>
  <si>
    <t>4.3 A national level maize data warehouse developed for facilitating Ag extension in Nepal </t>
  </si>
  <si>
    <t>Sreejith, Narayan, Pankaj, Sagar, Satish</t>
  </si>
  <si>
    <t>4.3 Provide business mentorship support through multi stakeholder platforms, facilitate farmer market linkages and market coordination mechanisms by connecting women, men, and young farmers with food and feed industries to develop remunerative, inclusive and resilient supply chains in Nepal’s terai  </t>
  </si>
  <si>
    <t>4.4 Investments up to USD 3 M mobilized from public and private sectors for maize commercialization in Nepal </t>
  </si>
  <si>
    <t>Narayan</t>
  </si>
  <si>
    <t>4.4 Organize investment forums, agricultural innovation exchange platforms and agro input fairs with private public partnerships to boost investments and the delivery of quality ag inputs to farmers. </t>
  </si>
  <si>
    <t>4.5 TwoProposals developed with the evidence from this activity submitted to donors funding in 2026 and beyond  
4.6 An operational innovation exchange platform linking global innovation providers (including US based actors) with stakeholders in the Philippines and Indonesia </t>
  </si>
  <si>
    <t>Amjath</t>
  </si>
  <si>
    <t>Sreejith, GMP colleagues from Philippines</t>
  </si>
  <si>
    <t>Work package 5: CIMMYT Nepalgunj Regional Early Generation Seed (EGS) </t>
  </si>
  <si>
    <t>5.1 Upgrade CIMMYT’s seed hub at Nepalgunj to meet regional EGS demand and enable the timely dispatch of at least 5–10 shipments to partner countries across South and Southeast Asia. </t>
  </si>
  <si>
    <t>5.1 CIMMYT Nepalgunj seed hub upgraded and operational as a regional EGS hub, with enhanced capacity to produce EGS, hybrid and inbred line seed for South and Southeast Asia. </t>
  </si>
  <si>
    <t>Zaidi, Nagesh, Nick, Aparna, Remy, IRS consultant, LRS consultant (3):</t>
  </si>
  <si>
    <t>5.2 Establish standardized EGS seed storage, seed conditioning facilities, cold chambers, and inventory management systems to support multi-country dispatch. </t>
  </si>
  <si>
    <t>5.2 High-standard seed storage, seed conditioning facilities, cold chambers, inventory management, and phytosanitary compliance systems established for seed dispatch requirements in target countries.  </t>
  </si>
  <si>
    <t>5.3 Produce and supply parental seeds for priority CIMMYT maize hybrids aligned with regional breeding pipelines. </t>
  </si>
  <si>
    <t>5.3 Parental seed of priority CIMMYT maize hybrids produced and supplied in alignment with regional breeding pipelines and partner demand, supporting timely hybrid deployment. </t>
  </si>
  <si>
    <t>5.4 Strengthen phytosanitary compliance, documentation, and seed movement protocols aligned with regional regulations. </t>
  </si>
  <si>
    <t>5.4 A replicable, best-practice EGS infrastructure and service delivery model demonstrated </t>
  </si>
  <si>
    <t>5.5 Demonstrate best-in-class EGS infrastructure for replication by regional partners. </t>
  </si>
  <si>
    <t>5.6 Provide scientific and technical capacity strengthening to NARC and Nepal’s hybrid maize program by ensuring reliable access to EGS, along with other maize-based seed technologies. </t>
  </si>
  <si>
    <t>Activity lead</t>
  </si>
  <si>
    <t>Operations
US$</t>
  </si>
  <si>
    <t>Co-Financing in 2026 
US$</t>
  </si>
  <si>
    <t>Co-Finance sources</t>
  </si>
  <si>
    <t>Possible Future Funding
US$</t>
  </si>
  <si>
    <t>Future funding sources</t>
  </si>
  <si>
    <t>Notes</t>
  </si>
  <si>
    <t>1.5M</t>
  </si>
  <si>
    <t>ADB</t>
  </si>
  <si>
    <t>To be pursued</t>
  </si>
  <si>
    <t>0.5M</t>
  </si>
  <si>
    <t>1.5 Regional Dashboard</t>
  </si>
  <si>
    <t>Satish</t>
  </si>
  <si>
    <t>B4T</t>
  </si>
  <si>
    <t>1.0M</t>
  </si>
  <si>
    <t>BMGF, Green Climate Fund</t>
  </si>
  <si>
    <t>Philippines contribution</t>
  </si>
  <si>
    <t>1.7M</t>
  </si>
  <si>
    <t>Mastercard foundation</t>
  </si>
  <si>
    <t>DH service fund</t>
  </si>
  <si>
    <t>DBT, Govt. of India</t>
  </si>
  <si>
    <t>CAMSA</t>
  </si>
  <si>
    <t>2.5-2.6</t>
  </si>
  <si>
    <t>2.8 e-Agorlogy</t>
  </si>
  <si>
    <t>2.10 AgroTutor AI Advisory</t>
  </si>
  <si>
    <t>2.10</t>
  </si>
  <si>
    <t>1.8M</t>
  </si>
  <si>
    <t>ADB Proposal for Nepal</t>
  </si>
  <si>
    <t>WB, GCF</t>
  </si>
  <si>
    <t>Personnel, cosnultants, and LRS</t>
  </si>
  <si>
    <t xml:space="preserve">S&amp;S, travels and others </t>
  </si>
  <si>
    <t>4.1-4.3</t>
  </si>
  <si>
    <t>4.2: Open Maize Data Exchange</t>
  </si>
  <si>
    <t>In kind contribution by GoN</t>
  </si>
  <si>
    <t>6.0ha lease land allocated to CIMMYT by GoN free of cost</t>
  </si>
  <si>
    <t>In Kind contribution by GoN</t>
  </si>
  <si>
    <t xml:space="preserve">Proposed as part of CIMMYT Inc to generate resources based on cost recovery through the delivery of EGS and hybrid seed parental seeds. </t>
  </si>
  <si>
    <t>MEL: Monitoring, Evaluation and Learning (HQ)</t>
  </si>
  <si>
    <t>MEL 1. Personnel (IRS)</t>
  </si>
  <si>
    <t>Andrea and Syed</t>
  </si>
  <si>
    <t>MEL 2. Personnel (LRS)</t>
  </si>
  <si>
    <t>MEL LRS (BD/NP)</t>
  </si>
  <si>
    <t>MEL 3. Survey and consultants</t>
  </si>
  <si>
    <t>MEL 4. Travel</t>
  </si>
  <si>
    <t>SUMMARY</t>
  </si>
  <si>
    <t>GMP</t>
  </si>
  <si>
    <t>SAS</t>
  </si>
  <si>
    <t>Year 1</t>
  </si>
  <si>
    <t>Type</t>
  </si>
  <si>
    <t>Name</t>
  </si>
  <si>
    <t>Position</t>
  </si>
  <si>
    <t>Location</t>
  </si>
  <si>
    <t>Level</t>
  </si>
  <si>
    <t>FTE</t>
  </si>
  <si>
    <t>SALARY</t>
  </si>
  <si>
    <t>MOS</t>
  </si>
  <si>
    <t>TOTAL</t>
  </si>
  <si>
    <t>IRS10</t>
  </si>
  <si>
    <t>New hire</t>
  </si>
  <si>
    <t>Maize Breeder</t>
  </si>
  <si>
    <t>Hyderabad</t>
  </si>
  <si>
    <t>IRS12</t>
  </si>
  <si>
    <t>P. Zaidi</t>
  </si>
  <si>
    <t>Maize Physiologist and Breeder - Asia</t>
  </si>
  <si>
    <t>IRS11</t>
  </si>
  <si>
    <t>A. Issa</t>
  </si>
  <si>
    <t>Seed System</t>
  </si>
  <si>
    <t>Nepal</t>
  </si>
  <si>
    <t>IRS13</t>
  </si>
  <si>
    <t>A. Saxena</t>
  </si>
  <si>
    <t>Program Director</t>
  </si>
  <si>
    <t>Kenya</t>
  </si>
  <si>
    <t>A. Das</t>
  </si>
  <si>
    <t>Sr. Technical Program Manager</t>
  </si>
  <si>
    <t>N. Davis</t>
  </si>
  <si>
    <t>Program Manager</t>
  </si>
  <si>
    <t>R. Labuguen</t>
  </si>
  <si>
    <t>Finance Manager</t>
  </si>
  <si>
    <t>Mexico</t>
  </si>
  <si>
    <t>LRS01</t>
  </si>
  <si>
    <t>Field Technician</t>
  </si>
  <si>
    <t>LRS06</t>
  </si>
  <si>
    <t>Sr. Res. Technician</t>
  </si>
  <si>
    <t>LRS09</t>
  </si>
  <si>
    <t>Project Scientist</t>
  </si>
  <si>
    <t>Personnel</t>
  </si>
  <si>
    <t>Consultants</t>
  </si>
  <si>
    <t>Consultant 1</t>
  </si>
  <si>
    <t>Senior Level</t>
  </si>
  <si>
    <t>Bangladesh</t>
  </si>
  <si>
    <t>Consultant 2</t>
  </si>
  <si>
    <t>Philippines</t>
  </si>
  <si>
    <t>Consultant 3</t>
  </si>
  <si>
    <t>Consultant 4</t>
  </si>
  <si>
    <t xml:space="preserve">International </t>
  </si>
  <si>
    <t>Training and Workshops</t>
  </si>
  <si>
    <t>Detail 1</t>
  </si>
  <si>
    <t>India</t>
  </si>
  <si>
    <t>Detail 2</t>
  </si>
  <si>
    <t>Detail 3</t>
  </si>
  <si>
    <t>Regional Training</t>
  </si>
  <si>
    <t>Nepal/Bangladesh/ Philippines</t>
  </si>
  <si>
    <t>Detail 4</t>
  </si>
  <si>
    <t>Other Supplies and Services</t>
  </si>
  <si>
    <t>Partners</t>
  </si>
  <si>
    <t>Partner 1</t>
  </si>
  <si>
    <t>Partner 2</t>
  </si>
  <si>
    <t>Partner 3</t>
  </si>
  <si>
    <t>Partner 4</t>
  </si>
  <si>
    <t>Partner 6</t>
  </si>
  <si>
    <t>DESIS-Nepal/Phillipines/Bangladesh</t>
  </si>
  <si>
    <t>Partner 7</t>
  </si>
  <si>
    <t>Bangaldesh</t>
  </si>
  <si>
    <t>Partner 8</t>
  </si>
  <si>
    <t>Equipment</t>
  </si>
  <si>
    <t>Equipment 1</t>
  </si>
  <si>
    <t>Equipment 2</t>
  </si>
  <si>
    <t>Equipment 3</t>
  </si>
  <si>
    <t>Travel</t>
  </si>
  <si>
    <t>Nepal/Bangladesh/Philippines</t>
  </si>
  <si>
    <t>Chargebacks</t>
  </si>
  <si>
    <t>ICT</t>
  </si>
  <si>
    <t>Non windows</t>
  </si>
  <si>
    <t>Standard scientist</t>
  </si>
  <si>
    <t>GARS</t>
  </si>
  <si>
    <t>Knowledge Center</t>
  </si>
  <si>
    <t>Regional Office Shared Cost</t>
  </si>
  <si>
    <t xml:space="preserve"> Kenya</t>
  </si>
  <si>
    <t>Other RO</t>
  </si>
  <si>
    <t>Fleet</t>
  </si>
  <si>
    <t>Pick up - Nepal</t>
  </si>
  <si>
    <t>Total Direct Costs</t>
  </si>
  <si>
    <t>Indirect Cost</t>
  </si>
  <si>
    <t>Flow-through</t>
  </si>
  <si>
    <t>Total Indirect costs</t>
  </si>
  <si>
    <t>Sub-TOTAL</t>
  </si>
  <si>
    <t>CGIAR fee</t>
  </si>
  <si>
    <t>$1,159,740.00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</si>
</sst>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 numFmtId="167" formatCode="&quot;$&quot;#,##0"/>
  </numFmts>
  <fonts count="28" x14ac:knownFonts="1">
    <font>
      <sz val="11"/>
      <color theme="1"/>
      <name val="Aptos Narrow"/>
      <family val="2"/>
      <scheme val="minor"/>
    </font>
    <font>
      <b/>
      <sz val="11"/>
      <color theme="1"/>
      <name val="Aptos Narrow"/>
      <family val="2"/>
      <scheme val="minor"/>
    </font>
    <font>
      <b/>
      <sz val="12"/>
      <color rgb="FF000000"/>
      <name val="Times New Roman"/>
      <family val="1"/>
    </font>
    <font>
      <b/>
      <sz val="12"/>
      <name val="Times New Roman"/>
      <family val="1"/>
    </font>
    <font>
      <sz val="12"/>
      <name val="Times New Roman"/>
      <family val="1"/>
    </font>
    <font>
      <sz val="10"/>
      <name val="Aptos Display"/>
      <family val="2"/>
    </font>
    <font>
      <b/>
      <sz val="12"/>
      <color rgb="FF000000"/>
      <name val="Aptos Narrow"/>
      <family val="2"/>
      <scheme val="minor"/>
    </font>
    <font>
      <b/>
      <sz val="10"/>
      <name val="Aptos Display"/>
      <family val="2"/>
    </font>
    <font>
      <sz val="11"/>
      <color theme="1"/>
      <name val="Aptos Narrow"/>
      <scheme val="minor"/>
    </font>
    <font>
      <sz val="11"/>
      <color theme="1"/>
      <name val="Aptos Narrow"/>
      <family val="2"/>
      <scheme val="minor"/>
    </font>
    <font>
      <sz val="11"/>
      <color rgb="FF000000"/>
      <name val="Aptos Narrow"/>
      <family val="2"/>
      <scheme val="minor"/>
    </font>
    <font>
      <sz val="12"/>
      <color rgb="FF000000"/>
      <name val="Aptos Narrow"/>
      <family val="2"/>
      <scheme val="minor"/>
    </font>
    <font>
      <sz val="11"/>
      <color rgb="FF000000"/>
      <name val="Aptos Narrow"/>
    </font>
    <font>
      <b/>
      <sz val="11"/>
      <color rgb="FF000000"/>
      <name val="Aptos Narrow"/>
      <family val="2"/>
      <scheme val="minor"/>
    </font>
    <font>
      <b/>
      <i/>
      <sz val="11"/>
      <color theme="1" tint="0.34998626667073579"/>
      <name val="Aptos Narrow"/>
      <family val="2"/>
      <scheme val="minor"/>
    </font>
    <font>
      <i/>
      <sz val="11"/>
      <color theme="1" tint="0.34998626667073579"/>
      <name val="Aptos Narrow"/>
      <family val="2"/>
      <scheme val="minor"/>
    </font>
    <font>
      <sz val="10"/>
      <color rgb="FF000000"/>
      <name val="Calibri"/>
      <family val="2"/>
    </font>
    <font>
      <sz val="11"/>
      <name val="Aptos Narrow"/>
      <family val="2"/>
      <scheme val="minor"/>
    </font>
    <font>
      <sz val="11"/>
      <color theme="1"/>
      <name val="Calibri"/>
      <family val="2"/>
    </font>
    <font>
      <b/>
      <sz val="11"/>
      <color rgb="FFFF0000"/>
      <name val="Aptos Narrow"/>
      <family val="2"/>
      <scheme val="minor"/>
    </font>
    <font>
      <i/>
      <sz val="11"/>
      <color theme="1"/>
      <name val="Aptos Narrow"/>
      <family val="2"/>
      <scheme val="minor"/>
    </font>
    <font>
      <b/>
      <i/>
      <sz val="11"/>
      <color rgb="FFFF0000"/>
      <name val="Aptos Narrow"/>
      <family val="2"/>
      <scheme val="minor"/>
    </font>
    <font>
      <i/>
      <sz val="11"/>
      <color rgb="FFFF0000"/>
      <name val="Aptos Narrow"/>
      <family val="2"/>
      <scheme val="minor"/>
    </font>
    <font>
      <b/>
      <i/>
      <sz val="11"/>
      <color rgb="FF000000"/>
      <name val="Aptos Narrow"/>
      <family val="2"/>
      <scheme val="minor"/>
    </font>
    <font>
      <i/>
      <sz val="11"/>
      <color theme="1" tint="0.499984740745262"/>
      <name val="Aptos Narrow"/>
      <family val="2"/>
      <scheme val="minor"/>
    </font>
    <font>
      <b/>
      <i/>
      <sz val="11"/>
      <color theme="1" tint="0.499984740745262"/>
      <name val="Aptos Narrow"/>
      <family val="2"/>
      <scheme val="minor"/>
    </font>
    <font>
      <sz val="11"/>
      <color theme="0" tint="-0.14999847407452621"/>
      <name val="Aptos Narrow"/>
      <family val="2"/>
      <scheme val="minor"/>
    </font>
    <font>
      <i/>
      <sz val="11"/>
      <color theme="0" tint="-0.14999847407452621"/>
      <name val="Aptos Narrow"/>
      <family val="2"/>
      <scheme val="minor"/>
    </font>
  </fonts>
  <fills count="12">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D3D3D3"/>
      </left>
      <right style="thin">
        <color rgb="FFD3D3D3"/>
      </right>
      <top style="thin">
        <color rgb="FFD3D3D3"/>
      </top>
      <bottom style="thin">
        <color rgb="FFD3D3D3"/>
      </bottom>
      <diagonal/>
    </border>
  </borders>
  <cellStyleXfs count="5">
    <xf numFmtId="0" fontId="0"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44" fontId="9" fillId="0" borderId="0" applyFont="0" applyFill="0" applyBorder="0" applyAlignment="0" applyProtection="0"/>
  </cellStyleXfs>
  <cellXfs count="173">
    <xf numFmtId="0" fontId="0" fillId="0" borderId="0" xfId="0"/>
    <xf numFmtId="0" fontId="2" fillId="0" borderId="1" xfId="0" applyFont="1" applyBorder="1" applyAlignment="1">
      <alignment vertical="top" wrapText="1"/>
    </xf>
    <xf numFmtId="0" fontId="3" fillId="0" borderId="1" xfId="0" applyFont="1" applyBorder="1" applyAlignment="1">
      <alignment horizontal="left" vertical="top" wrapText="1"/>
    </xf>
    <xf numFmtId="0" fontId="6" fillId="0" borderId="1" xfId="0" applyFont="1" applyBorder="1" applyAlignment="1">
      <alignment vertical="top" wrapText="1"/>
    </xf>
    <xf numFmtId="0" fontId="3" fillId="5"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0" borderId="1" xfId="0" applyBorder="1" applyAlignment="1">
      <alignment vertical="top"/>
    </xf>
    <xf numFmtId="0" fontId="0" fillId="6" borderId="1" xfId="0" applyFill="1" applyBorder="1" applyAlignment="1">
      <alignment vertical="top"/>
    </xf>
    <xf numFmtId="0" fontId="0" fillId="6" borderId="1" xfId="0" applyFill="1" applyBorder="1" applyAlignment="1">
      <alignment vertical="top" wrapText="1"/>
    </xf>
    <xf numFmtId="0" fontId="5" fillId="6" borderId="1" xfId="0" applyFont="1" applyFill="1" applyBorder="1" applyAlignment="1">
      <alignment horizontal="left" vertical="top" wrapText="1"/>
    </xf>
    <xf numFmtId="0" fontId="0" fillId="0" borderId="1" xfId="0" applyBorder="1" applyAlignment="1">
      <alignment vertical="top" wrapText="1"/>
    </xf>
    <xf numFmtId="0" fontId="5" fillId="0" borderId="1" xfId="0" applyFont="1" applyBorder="1" applyAlignment="1">
      <alignment horizontal="left" vertical="center" wrapText="1"/>
    </xf>
    <xf numFmtId="0" fontId="5" fillId="6" borderId="1" xfId="0" applyFont="1" applyFill="1" applyBorder="1" applyAlignment="1">
      <alignment horizontal="left" vertical="center" wrapText="1"/>
    </xf>
    <xf numFmtId="0" fontId="1" fillId="6" borderId="3" xfId="0" applyFont="1" applyFill="1" applyBorder="1" applyAlignment="1">
      <alignment vertical="top"/>
    </xf>
    <xf numFmtId="0" fontId="3" fillId="6" borderId="3" xfId="0" applyFont="1" applyFill="1" applyBorder="1" applyAlignment="1">
      <alignment horizontal="left" vertical="top" wrapText="1"/>
    </xf>
    <xf numFmtId="0" fontId="6" fillId="6" borderId="3" xfId="0" applyFont="1" applyFill="1" applyBorder="1" applyAlignment="1">
      <alignment vertical="top" wrapText="1"/>
    </xf>
    <xf numFmtId="0" fontId="2" fillId="0" borderId="2" xfId="0" applyFont="1" applyBorder="1" applyAlignment="1">
      <alignment vertical="top" wrapText="1"/>
    </xf>
    <xf numFmtId="0" fontId="3" fillId="0" borderId="2" xfId="0" applyFont="1" applyBorder="1" applyAlignment="1">
      <alignment horizontal="left" vertical="top" wrapText="1"/>
    </xf>
    <xf numFmtId="0" fontId="6" fillId="0" borderId="2" xfId="0" applyFont="1" applyBorder="1" applyAlignment="1">
      <alignment vertical="top" wrapText="1"/>
    </xf>
    <xf numFmtId="0" fontId="3" fillId="5"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0" fillId="0" borderId="2" xfId="0" applyBorder="1" applyAlignment="1">
      <alignment vertical="top"/>
    </xf>
    <xf numFmtId="0" fontId="1" fillId="0" borderId="3" xfId="0" applyFont="1" applyBorder="1" applyAlignment="1">
      <alignment vertical="top"/>
    </xf>
    <xf numFmtId="0" fontId="7" fillId="0" borderId="3" xfId="0" applyFont="1" applyBorder="1" applyAlignment="1">
      <alignment horizontal="left" vertical="top" wrapText="1"/>
    </xf>
    <xf numFmtId="0" fontId="0" fillId="6" borderId="2" xfId="0" applyFill="1" applyBorder="1" applyAlignment="1">
      <alignment vertical="top" wrapText="1"/>
    </xf>
    <xf numFmtId="0" fontId="5" fillId="6" borderId="2" xfId="0" applyFont="1" applyFill="1" applyBorder="1" applyAlignment="1">
      <alignment horizontal="left" vertical="top" wrapText="1"/>
    </xf>
    <xf numFmtId="0" fontId="0" fillId="6" borderId="2" xfId="0" applyFill="1" applyBorder="1" applyAlignment="1">
      <alignment vertical="top"/>
    </xf>
    <xf numFmtId="0" fontId="7" fillId="6" borderId="3" xfId="0" applyFont="1" applyFill="1" applyBorder="1" applyAlignment="1">
      <alignment horizontal="left" vertical="center" wrapText="1"/>
    </xf>
    <xf numFmtId="0" fontId="0" fillId="0" borderId="2" xfId="0" applyBorder="1" applyAlignment="1">
      <alignment vertical="top" wrapText="1"/>
    </xf>
    <xf numFmtId="0" fontId="5" fillId="0" borderId="2" xfId="0" applyFont="1" applyBorder="1" applyAlignment="1">
      <alignment horizontal="left" vertical="center" wrapText="1"/>
    </xf>
    <xf numFmtId="0" fontId="7" fillId="0" borderId="3" xfId="0" applyFont="1" applyBorder="1" applyAlignment="1">
      <alignment horizontal="left" vertical="center" wrapText="1"/>
    </xf>
    <xf numFmtId="0" fontId="5" fillId="6" borderId="2" xfId="0" applyFont="1" applyFill="1" applyBorder="1" applyAlignment="1">
      <alignment horizontal="left" vertical="center" wrapText="1"/>
    </xf>
    <xf numFmtId="0" fontId="0" fillId="0" borderId="3" xfId="0" applyBorder="1" applyAlignment="1">
      <alignment vertical="top"/>
    </xf>
    <xf numFmtId="0" fontId="0" fillId="6" borderId="1" xfId="0" applyFill="1" applyBorder="1" applyAlignment="1">
      <alignment horizontal="right" wrapText="1"/>
    </xf>
    <xf numFmtId="0" fontId="0" fillId="6" borderId="1" xfId="0" applyFill="1" applyBorder="1" applyAlignment="1">
      <alignment horizontal="right"/>
    </xf>
    <xf numFmtId="0" fontId="0" fillId="0" borderId="1" xfId="0" applyBorder="1" applyAlignment="1">
      <alignment horizontal="right"/>
    </xf>
    <xf numFmtId="0" fontId="3" fillId="0" borderId="3" xfId="0" applyFont="1" applyBorder="1" applyAlignment="1">
      <alignment horizontal="center" wrapText="1"/>
    </xf>
    <xf numFmtId="0" fontId="0" fillId="0" borderId="1" xfId="0" applyBorder="1" applyAlignment="1">
      <alignment horizontal="center"/>
    </xf>
    <xf numFmtId="0" fontId="0" fillId="5" borderId="1" xfId="0" applyFill="1" applyBorder="1" applyAlignment="1">
      <alignment horizontal="center" textRotation="90"/>
    </xf>
    <xf numFmtId="0" fontId="0" fillId="2" borderId="1" xfId="0" applyFill="1" applyBorder="1" applyAlignment="1">
      <alignment horizontal="center" textRotation="90"/>
    </xf>
    <xf numFmtId="0" fontId="0" fillId="0" borderId="1" xfId="0" applyBorder="1" applyAlignment="1">
      <alignment horizontal="center" textRotation="90"/>
    </xf>
    <xf numFmtId="0" fontId="0" fillId="0" borderId="2" xfId="0" applyBorder="1" applyAlignment="1">
      <alignment horizontal="center"/>
    </xf>
    <xf numFmtId="0" fontId="0" fillId="0" borderId="2" xfId="0" applyBorder="1" applyAlignment="1">
      <alignment horizontal="center" textRotation="90"/>
    </xf>
    <xf numFmtId="0" fontId="1" fillId="0" borderId="3" xfId="0" applyFont="1" applyBorder="1" applyAlignment="1">
      <alignment horizontal="center"/>
    </xf>
    <xf numFmtId="0" fontId="1" fillId="0" borderId="3" xfId="0" applyFont="1" applyBorder="1" applyAlignment="1">
      <alignment horizontal="center" textRotation="90"/>
    </xf>
    <xf numFmtId="0" fontId="0" fillId="0" borderId="3" xfId="0" applyBorder="1" applyAlignment="1">
      <alignment horizontal="center"/>
    </xf>
    <xf numFmtId="0" fontId="0" fillId="0" borderId="3" xfId="0" applyBorder="1" applyAlignment="1">
      <alignment horizontal="center" textRotation="90"/>
    </xf>
    <xf numFmtId="0" fontId="0" fillId="7" borderId="1" xfId="0" applyFill="1" applyBorder="1" applyAlignment="1">
      <alignment horizontal="center" textRotation="90"/>
    </xf>
    <xf numFmtId="0" fontId="0" fillId="3" borderId="1" xfId="0" applyFill="1" applyBorder="1" applyAlignment="1">
      <alignment horizontal="center" textRotation="90"/>
    </xf>
    <xf numFmtId="0" fontId="8" fillId="0" borderId="1" xfId="0" applyFont="1" applyBorder="1" applyAlignment="1">
      <alignment vertical="top" wrapText="1"/>
    </xf>
    <xf numFmtId="0" fontId="0" fillId="4" borderId="1" xfId="0" applyFill="1" applyBorder="1" applyAlignment="1">
      <alignment horizontal="center" textRotation="90"/>
    </xf>
    <xf numFmtId="0" fontId="0" fillId="6" borderId="1" xfId="0" applyFill="1" applyBorder="1" applyAlignment="1">
      <alignment horizontal="left" wrapText="1"/>
    </xf>
    <xf numFmtId="0" fontId="10" fillId="6" borderId="1" xfId="0" applyFont="1" applyFill="1" applyBorder="1" applyAlignment="1">
      <alignment vertical="top" wrapText="1"/>
    </xf>
    <xf numFmtId="0" fontId="10" fillId="0" borderId="1" xfId="0" applyFont="1" applyBorder="1" applyAlignment="1">
      <alignment vertical="top" wrapText="1"/>
    </xf>
    <xf numFmtId="0" fontId="10" fillId="0" borderId="2" xfId="0" applyFont="1" applyBorder="1" applyAlignment="1">
      <alignment horizontal="left" vertical="top" wrapText="1"/>
    </xf>
    <xf numFmtId="0" fontId="1" fillId="0" borderId="1" xfId="0" applyFont="1" applyBorder="1" applyAlignment="1">
      <alignment vertical="top"/>
    </xf>
    <xf numFmtId="0" fontId="1" fillId="8" borderId="3" xfId="0" applyFont="1" applyFill="1" applyBorder="1" applyAlignment="1">
      <alignment vertical="top"/>
    </xf>
    <xf numFmtId="0" fontId="3" fillId="8" borderId="3" xfId="0" applyFont="1" applyFill="1" applyBorder="1" applyAlignment="1">
      <alignment horizontal="left" vertical="top" wrapText="1"/>
    </xf>
    <xf numFmtId="0" fontId="0" fillId="8" borderId="3" xfId="0" applyFill="1" applyBorder="1" applyAlignment="1">
      <alignment vertical="top"/>
    </xf>
    <xf numFmtId="0" fontId="7" fillId="8" borderId="3" xfId="0" applyFont="1" applyFill="1" applyBorder="1" applyAlignment="1">
      <alignment horizontal="left" vertical="top" wrapText="1"/>
    </xf>
    <xf numFmtId="0" fontId="7" fillId="8" borderId="3" xfId="0" applyFont="1" applyFill="1" applyBorder="1" applyAlignment="1">
      <alignment horizontal="left" vertical="center" wrapText="1"/>
    </xf>
    <xf numFmtId="0" fontId="5" fillId="0" borderId="3" xfId="0" applyFont="1" applyBorder="1" applyAlignment="1">
      <alignment horizontal="left" vertical="top" wrapText="1"/>
    </xf>
    <xf numFmtId="49" fontId="5" fillId="0" borderId="3" xfId="0" applyNumberFormat="1" applyFont="1" applyBorder="1" applyAlignment="1">
      <alignment horizontal="left" vertical="top" wrapText="1"/>
    </xf>
    <xf numFmtId="0" fontId="4" fillId="0" borderId="3" xfId="0" applyFont="1" applyBorder="1" applyAlignment="1">
      <alignment horizontal="left" vertical="top" wrapText="1"/>
    </xf>
    <xf numFmtId="0" fontId="5" fillId="0" borderId="3" xfId="0" applyFont="1" applyBorder="1" applyAlignment="1">
      <alignment horizontal="left" vertical="center" wrapText="1"/>
    </xf>
    <xf numFmtId="164" fontId="3" fillId="8" borderId="3" xfId="1" applyNumberFormat="1" applyFont="1" applyFill="1" applyBorder="1" applyAlignment="1">
      <alignment horizontal="left" vertical="top" wrapText="1"/>
    </xf>
    <xf numFmtId="164" fontId="4" fillId="0" borderId="3" xfId="1" applyNumberFormat="1" applyFont="1" applyFill="1" applyBorder="1" applyAlignment="1">
      <alignment horizontal="left" vertical="top" wrapText="1"/>
    </xf>
    <xf numFmtId="164" fontId="1" fillId="8" borderId="3" xfId="1" applyNumberFormat="1" applyFont="1" applyFill="1" applyBorder="1" applyAlignment="1">
      <alignment vertical="top"/>
    </xf>
    <xf numFmtId="164" fontId="0" fillId="0" borderId="3" xfId="1" applyNumberFormat="1" applyFont="1" applyBorder="1" applyAlignment="1">
      <alignment vertical="top"/>
    </xf>
    <xf numFmtId="164" fontId="1" fillId="0" borderId="3" xfId="1" applyNumberFormat="1" applyFont="1" applyFill="1" applyBorder="1" applyAlignment="1">
      <alignment vertical="top"/>
    </xf>
    <xf numFmtId="164" fontId="1" fillId="6" borderId="3" xfId="1" applyNumberFormat="1" applyFont="1" applyFill="1" applyBorder="1" applyAlignment="1">
      <alignment vertical="top"/>
    </xf>
    <xf numFmtId="164" fontId="0" fillId="0" borderId="3" xfId="1" applyNumberFormat="1" applyFont="1" applyFill="1" applyBorder="1" applyAlignment="1">
      <alignment vertical="top"/>
    </xf>
    <xf numFmtId="164" fontId="0" fillId="0" borderId="1" xfId="1" applyNumberFormat="1" applyFont="1" applyBorder="1" applyAlignment="1">
      <alignment vertical="top"/>
    </xf>
    <xf numFmtId="164" fontId="6" fillId="0" borderId="1" xfId="1" applyNumberFormat="1" applyFont="1" applyBorder="1" applyAlignment="1">
      <alignment vertical="top" wrapText="1"/>
    </xf>
    <xf numFmtId="164" fontId="6" fillId="8" borderId="3" xfId="1" applyNumberFormat="1" applyFont="1" applyFill="1" applyBorder="1" applyAlignment="1">
      <alignment vertical="top" wrapText="1"/>
    </xf>
    <xf numFmtId="164" fontId="11" fillId="0" borderId="3" xfId="1" applyNumberFormat="1" applyFont="1" applyFill="1" applyBorder="1" applyAlignment="1">
      <alignment vertical="top"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6" borderId="3" xfId="0" applyFont="1" applyFill="1" applyBorder="1" applyAlignment="1">
      <alignment horizontal="center" vertical="top" wrapText="1"/>
    </xf>
    <xf numFmtId="0" fontId="0" fillId="6" borderId="1" xfId="0" applyFill="1" applyBorder="1" applyAlignment="1">
      <alignment horizontal="center"/>
    </xf>
    <xf numFmtId="0" fontId="0" fillId="6" borderId="1" xfId="0" applyFill="1" applyBorder="1" applyAlignment="1">
      <alignment horizontal="center" vertical="top"/>
    </xf>
    <xf numFmtId="0" fontId="0" fillId="6" borderId="2" xfId="0" applyFill="1" applyBorder="1" applyAlignment="1">
      <alignment horizontal="center" vertical="top"/>
    </xf>
    <xf numFmtId="0" fontId="1" fillId="0" borderId="3" xfId="0" applyFont="1" applyBorder="1" applyAlignment="1">
      <alignment horizontal="center" vertical="top"/>
    </xf>
    <xf numFmtId="0" fontId="0" fillId="0" borderId="1" xfId="0" applyBorder="1" applyAlignment="1">
      <alignment horizontal="center" vertical="top"/>
    </xf>
    <xf numFmtId="0" fontId="0" fillId="0" borderId="2" xfId="0" applyBorder="1" applyAlignment="1">
      <alignment horizontal="center" vertical="top"/>
    </xf>
    <xf numFmtId="0" fontId="1" fillId="6" borderId="3" xfId="0" applyFont="1" applyFill="1" applyBorder="1" applyAlignment="1">
      <alignment horizontal="center" vertical="top"/>
    </xf>
    <xf numFmtId="0" fontId="0" fillId="0" borderId="3" xfId="0" applyBorder="1" applyAlignment="1">
      <alignment horizontal="center" vertical="top"/>
    </xf>
    <xf numFmtId="0" fontId="5" fillId="6" borderId="1" xfId="0" applyFont="1" applyFill="1" applyBorder="1" applyAlignment="1">
      <alignment horizontal="left"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1" fillId="6" borderId="3" xfId="0" applyFont="1" applyFill="1" applyBorder="1" applyAlignment="1">
      <alignment horizontal="left" vertical="top"/>
    </xf>
    <xf numFmtId="0" fontId="0" fillId="6" borderId="2" xfId="0" applyFill="1" applyBorder="1" applyAlignment="1">
      <alignment horizontal="left" vertical="top"/>
    </xf>
    <xf numFmtId="0" fontId="1" fillId="0" borderId="3" xfId="0" applyFont="1" applyBorder="1" applyAlignment="1">
      <alignment horizontal="left" vertical="top"/>
    </xf>
    <xf numFmtId="0" fontId="0" fillId="6" borderId="1" xfId="0" applyFill="1" applyBorder="1" applyAlignment="1">
      <alignment horizontal="left" vertical="top"/>
    </xf>
    <xf numFmtId="0" fontId="0" fillId="0" borderId="3" xfId="0" applyBorder="1" applyAlignment="1">
      <alignment horizontal="left" vertical="top"/>
    </xf>
    <xf numFmtId="0" fontId="0" fillId="0" borderId="1" xfId="0" applyBorder="1" applyAlignment="1">
      <alignment horizontal="left" vertical="top"/>
    </xf>
    <xf numFmtId="0" fontId="12" fillId="0" borderId="0" xfId="0" applyFont="1"/>
    <xf numFmtId="164" fontId="0" fillId="0" borderId="1" xfId="0" applyNumberFormat="1" applyBorder="1" applyAlignment="1">
      <alignment vertical="top"/>
    </xf>
    <xf numFmtId="0" fontId="0" fillId="0" borderId="3" xfId="0" applyBorder="1" applyAlignment="1">
      <alignment vertical="top" wrapText="1"/>
    </xf>
    <xf numFmtId="164" fontId="0" fillId="0" borderId="3" xfId="0" applyNumberFormat="1" applyBorder="1" applyAlignment="1">
      <alignment vertical="top"/>
    </xf>
    <xf numFmtId="0" fontId="1" fillId="5" borderId="4" xfId="2" applyFont="1" applyFill="1" applyBorder="1" applyAlignment="1">
      <alignment horizontal="center" wrapText="1"/>
    </xf>
    <xf numFmtId="0" fontId="9" fillId="5" borderId="1" xfId="2" applyFill="1" applyBorder="1" applyAlignment="1">
      <alignment horizontal="center" wrapText="1"/>
    </xf>
    <xf numFmtId="0" fontId="9" fillId="5" borderId="4" xfId="2" applyFill="1" applyBorder="1" applyAlignment="1">
      <alignment horizontal="center" wrapText="1"/>
    </xf>
    <xf numFmtId="0" fontId="1" fillId="5" borderId="5" xfId="2" applyFont="1" applyFill="1" applyBorder="1" applyAlignment="1">
      <alignment horizontal="center" wrapText="1"/>
    </xf>
    <xf numFmtId="0" fontId="13" fillId="5" borderId="6" xfId="0" applyFont="1" applyFill="1" applyBorder="1" applyAlignment="1">
      <alignment horizontal="center" wrapText="1"/>
    </xf>
    <xf numFmtId="0" fontId="13" fillId="5" borderId="7" xfId="0" applyFont="1" applyFill="1" applyBorder="1" applyAlignment="1">
      <alignment horizontal="center" wrapText="1"/>
    </xf>
    <xf numFmtId="0" fontId="1" fillId="5" borderId="8" xfId="2" applyFont="1" applyFill="1" applyBorder="1" applyAlignment="1">
      <alignment horizontal="center" wrapText="1"/>
    </xf>
    <xf numFmtId="0" fontId="9" fillId="0" borderId="0" xfId="2" applyAlignment="1">
      <alignment horizontal="center" wrapText="1"/>
    </xf>
    <xf numFmtId="0" fontId="1" fillId="0" borderId="1" xfId="2" applyFont="1" applyBorder="1" applyAlignment="1">
      <alignment horizontal="center"/>
    </xf>
    <xf numFmtId="0" fontId="14" fillId="0" borderId="1" xfId="2" applyFont="1" applyBorder="1" applyAlignment="1">
      <alignment horizontal="center"/>
    </xf>
    <xf numFmtId="165" fontId="1" fillId="0" borderId="1" xfId="2" applyNumberFormat="1" applyFont="1" applyBorder="1" applyAlignment="1">
      <alignment horizontal="center"/>
    </xf>
    <xf numFmtId="0" fontId="9" fillId="0" borderId="0" xfId="2"/>
    <xf numFmtId="9" fontId="9" fillId="5" borderId="1" xfId="2" applyNumberFormat="1" applyFill="1" applyBorder="1" applyAlignment="1">
      <alignment horizontal="center"/>
    </xf>
    <xf numFmtId="0" fontId="9" fillId="5" borderId="1" xfId="2" applyFill="1" applyBorder="1"/>
    <xf numFmtId="9" fontId="9" fillId="5" borderId="1" xfId="2" applyNumberFormat="1" applyFill="1" applyBorder="1"/>
    <xf numFmtId="9" fontId="0" fillId="5" borderId="1" xfId="3" applyFont="1" applyFill="1" applyBorder="1"/>
    <xf numFmtId="166" fontId="15" fillId="5" borderId="1" xfId="4" applyNumberFormat="1" applyFont="1" applyFill="1" applyBorder="1"/>
    <xf numFmtId="165" fontId="0" fillId="5" borderId="1" xfId="4" applyNumberFormat="1" applyFont="1" applyFill="1" applyBorder="1"/>
    <xf numFmtId="166" fontId="0" fillId="5" borderId="1" xfId="4" applyNumberFormat="1" applyFont="1" applyFill="1" applyBorder="1"/>
    <xf numFmtId="0" fontId="16" fillId="5" borderId="9" xfId="0" applyFont="1" applyFill="1" applyBorder="1" applyAlignment="1">
      <alignment vertical="top" readingOrder="1"/>
    </xf>
    <xf numFmtId="9" fontId="9" fillId="0" borderId="1" xfId="2" applyNumberFormat="1" applyBorder="1" applyAlignment="1">
      <alignment horizontal="center"/>
    </xf>
    <xf numFmtId="0" fontId="9" fillId="0" borderId="1" xfId="2" applyBorder="1"/>
    <xf numFmtId="9" fontId="9" fillId="0" borderId="1" xfId="2" applyNumberFormat="1" applyBorder="1"/>
    <xf numFmtId="9" fontId="0" fillId="0" borderId="1" xfId="3" applyFont="1" applyFill="1" applyBorder="1"/>
    <xf numFmtId="166" fontId="15" fillId="0" borderId="1" xfId="4" applyNumberFormat="1" applyFont="1" applyFill="1" applyBorder="1"/>
    <xf numFmtId="165" fontId="0" fillId="0" borderId="1" xfId="4" applyNumberFormat="1" applyFont="1" applyFill="1" applyBorder="1"/>
    <xf numFmtId="166" fontId="0" fillId="0" borderId="1" xfId="4" applyNumberFormat="1" applyFont="1" applyFill="1" applyBorder="1"/>
    <xf numFmtId="166" fontId="9" fillId="0" borderId="0" xfId="2" applyNumberFormat="1"/>
    <xf numFmtId="0" fontId="17" fillId="0" borderId="1" xfId="2" applyFont="1" applyBorder="1"/>
    <xf numFmtId="0" fontId="18" fillId="0" borderId="1" xfId="0" applyFont="1" applyBorder="1" applyAlignment="1">
      <alignment vertical="top" wrapText="1" readingOrder="1"/>
    </xf>
    <xf numFmtId="0" fontId="19" fillId="5" borderId="1" xfId="2" applyFont="1" applyFill="1" applyBorder="1"/>
    <xf numFmtId="165" fontId="19" fillId="5" borderId="1" xfId="2" applyNumberFormat="1" applyFont="1" applyFill="1" applyBorder="1"/>
    <xf numFmtId="166" fontId="19" fillId="5" borderId="1" xfId="2" applyNumberFormat="1" applyFont="1" applyFill="1" applyBorder="1"/>
    <xf numFmtId="0" fontId="19" fillId="0" borderId="0" xfId="2" applyFont="1"/>
    <xf numFmtId="0" fontId="1" fillId="5" borderId="1" xfId="2" applyFont="1" applyFill="1" applyBorder="1"/>
    <xf numFmtId="165" fontId="1" fillId="5" borderId="1" xfId="2" applyNumberFormat="1" applyFont="1" applyFill="1" applyBorder="1"/>
    <xf numFmtId="166" fontId="1" fillId="5" borderId="1" xfId="2" applyNumberFormat="1" applyFont="1" applyFill="1" applyBorder="1"/>
    <xf numFmtId="0" fontId="1" fillId="0" borderId="0" xfId="2" applyFont="1"/>
    <xf numFmtId="0" fontId="1" fillId="0" borderId="1" xfId="2" applyFont="1" applyBorder="1"/>
    <xf numFmtId="0" fontId="20" fillId="0" borderId="1" xfId="2" applyFont="1" applyBorder="1" applyAlignment="1">
      <alignment horizontal="left" indent="1"/>
    </xf>
    <xf numFmtId="165" fontId="9" fillId="0" borderId="1" xfId="2" applyNumberFormat="1" applyBorder="1"/>
    <xf numFmtId="166" fontId="9" fillId="0" borderId="1" xfId="2" applyNumberFormat="1" applyBorder="1"/>
    <xf numFmtId="0" fontId="21" fillId="9" borderId="1" xfId="2" applyFont="1" applyFill="1" applyBorder="1"/>
    <xf numFmtId="0" fontId="22" fillId="9" borderId="1" xfId="2" applyFont="1" applyFill="1" applyBorder="1"/>
    <xf numFmtId="165" fontId="21" fillId="9" borderId="1" xfId="2" applyNumberFormat="1" applyFont="1" applyFill="1" applyBorder="1"/>
    <xf numFmtId="166" fontId="21" fillId="9" borderId="1" xfId="4" applyNumberFormat="1" applyFont="1" applyFill="1" applyBorder="1"/>
    <xf numFmtId="0" fontId="20" fillId="10" borderId="1" xfId="2" applyFont="1" applyFill="1" applyBorder="1"/>
    <xf numFmtId="165" fontId="20" fillId="10" borderId="1" xfId="2" applyNumberFormat="1" applyFont="1" applyFill="1" applyBorder="1"/>
    <xf numFmtId="166" fontId="23" fillId="10" borderId="1" xfId="4" applyNumberFormat="1" applyFont="1" applyFill="1" applyBorder="1"/>
    <xf numFmtId="0" fontId="24" fillId="10" borderId="1" xfId="2" applyFont="1" applyFill="1" applyBorder="1"/>
    <xf numFmtId="0" fontId="24" fillId="10" borderId="1" xfId="2" applyFont="1" applyFill="1" applyBorder="1" applyAlignment="1">
      <alignment horizontal="left" indent="1"/>
    </xf>
    <xf numFmtId="167" fontId="24" fillId="11" borderId="1" xfId="2" applyNumberFormat="1" applyFont="1" applyFill="1" applyBorder="1"/>
    <xf numFmtId="165" fontId="24" fillId="10" borderId="1" xfId="2" applyNumberFormat="1" applyFont="1" applyFill="1" applyBorder="1"/>
    <xf numFmtId="166" fontId="24" fillId="10" borderId="1" xfId="4" applyNumberFormat="1" applyFont="1" applyFill="1" applyBorder="1"/>
    <xf numFmtId="9" fontId="20" fillId="10" borderId="1" xfId="2" applyNumberFormat="1" applyFont="1" applyFill="1" applyBorder="1"/>
    <xf numFmtId="166" fontId="25" fillId="10" borderId="1" xfId="4" applyNumberFormat="1" applyFont="1" applyFill="1" applyBorder="1"/>
    <xf numFmtId="167" fontId="22" fillId="10" borderId="1" xfId="2" applyNumberFormat="1" applyFont="1" applyFill="1" applyBorder="1"/>
    <xf numFmtId="166" fontId="20" fillId="0" borderId="0" xfId="2" applyNumberFormat="1" applyFont="1"/>
    <xf numFmtId="0" fontId="20" fillId="0" borderId="0" xfId="2" applyFont="1"/>
    <xf numFmtId="0" fontId="15" fillId="10" borderId="1" xfId="2" applyFont="1" applyFill="1" applyBorder="1" applyAlignment="1">
      <alignment horizontal="left" indent="1"/>
    </xf>
    <xf numFmtId="44" fontId="21" fillId="0" borderId="0" xfId="2" applyNumberFormat="1" applyFont="1"/>
    <xf numFmtId="0" fontId="21" fillId="0" borderId="0" xfId="2" applyFont="1"/>
    <xf numFmtId="165" fontId="9" fillId="5" borderId="1" xfId="2" applyNumberFormat="1" applyFill="1" applyBorder="1"/>
    <xf numFmtId="166" fontId="9" fillId="5" borderId="1" xfId="2" applyNumberFormat="1" applyFill="1" applyBorder="1"/>
    <xf numFmtId="166" fontId="26" fillId="0" borderId="0" xfId="2" applyNumberFormat="1" applyFont="1"/>
    <xf numFmtId="0" fontId="27" fillId="0" borderId="0" xfId="2" applyFont="1"/>
    <xf numFmtId="165" fontId="9" fillId="0" borderId="0" xfId="2" applyNumberFormat="1"/>
    <xf numFmtId="0" fontId="26" fillId="0" borderId="0" xfId="2" applyFont="1"/>
    <xf numFmtId="165" fontId="26" fillId="0" borderId="0" xfId="2" applyNumberFormat="1" applyFont="1"/>
  </cellXfs>
  <cellStyles count="5">
    <cellStyle name="Comma" xfId="1" builtinId="3"/>
    <cellStyle name="Currency 2" xfId="4" xr:uid="{BA4F9930-905C-4DF5-B9D9-A557B92717D9}"/>
    <cellStyle name="Normal" xfId="0" builtinId="0"/>
    <cellStyle name="Normal 3" xfId="2" xr:uid="{588A3C29-2D83-446B-9B94-CB74F13E3D8F}"/>
    <cellStyle name="Percent 2" xfId="3" xr:uid="{8135C2C3-BB12-432D-A702-5142902A64F6}"/>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hzaidi\Desktop\PPs%20&amp;%20CNs\AURORA%20proposal\Indo-Pacific%20food%20security\India%20-%20Costing%20template_2026.xlsx" TargetMode="External"/><Relationship Id="rId1" Type="http://schemas.openxmlformats.org/officeDocument/2006/relationships/externalLinkPath" Target="file:///C:\Users\phzaidi\Desktop\PPs%20&amp;%20CNs\AURORA%20proposal\Indo-Pacific%20food%20security\India%20-%20Costing%20template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for Donor"/>
      <sheetName val="Costing template"/>
      <sheetName val="2024 CB rates"/>
      <sheetName val="2026 CB rates"/>
      <sheetName val="Sheet1"/>
      <sheetName val="Sheet2"/>
      <sheetName val="2025 CB rates"/>
    </sheetNames>
    <sheetDataSet>
      <sheetData sheetId="0"/>
      <sheetData sheetId="1"/>
      <sheetData sheetId="2"/>
      <sheetData sheetId="3">
        <row r="6">
          <cell r="G6">
            <v>196.33683587029427</v>
          </cell>
        </row>
        <row r="11">
          <cell r="G11">
            <v>461.39596751703635</v>
          </cell>
        </row>
        <row r="13">
          <cell r="G13">
            <v>788.40033334430973</v>
          </cell>
        </row>
        <row r="15">
          <cell r="G15">
            <v>512.42602690166984</v>
          </cell>
        </row>
        <row r="29">
          <cell r="G29">
            <v>858.08030790486839</v>
          </cell>
        </row>
        <row r="31">
          <cell r="G31">
            <v>444.84615384615387</v>
          </cell>
        </row>
        <row r="32">
          <cell r="G32">
            <v>349.06659105719899</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5F3C-0DB5-4A50-8AE9-36FD9BDD18FC}">
  <dimension ref="A1:W40"/>
  <sheetViews>
    <sheetView workbookViewId="0">
      <pane xSplit="3" ySplit="2" topLeftCell="D17" activePane="bottomRight" state="frozen"/>
      <selection pane="topRight" activeCell="E1" sqref="E1"/>
      <selection pane="bottomLeft" activeCell="A3" sqref="A3"/>
      <selection pane="bottomRight" activeCell="F22" sqref="F22"/>
    </sheetView>
  </sheetViews>
  <sheetFormatPr defaultColWidth="23.88671875" defaultRowHeight="14.4" x14ac:dyDescent="0.3"/>
  <cols>
    <col min="1" max="1" width="22" style="8" customWidth="1"/>
    <col min="2" max="2" width="38.88671875" style="99" customWidth="1"/>
    <col min="3" max="3" width="35.33203125" style="99" customWidth="1"/>
    <col min="4" max="4" width="16.88671875" style="87" bestFit="1" customWidth="1"/>
    <col min="5" max="5" width="32.44140625" style="8" customWidth="1"/>
    <col min="6" max="6" width="17" style="8" customWidth="1"/>
    <col min="7" max="7" width="13.33203125" style="8" customWidth="1"/>
    <col min="8" max="8" width="17" style="8" bestFit="1" customWidth="1"/>
    <col min="9" max="9" width="17.6640625" style="8" customWidth="1"/>
    <col min="10" max="10" width="19.44140625" style="8" bestFit="1" customWidth="1"/>
    <col min="11" max="11" width="15.44140625" style="8" bestFit="1" customWidth="1"/>
    <col min="12" max="12" width="4.33203125" style="41" bestFit="1" customWidth="1"/>
    <col min="13" max="13" width="4.44140625" style="44" bestFit="1" customWidth="1"/>
    <col min="14" max="14" width="5" style="44" bestFit="1" customWidth="1"/>
    <col min="15" max="15" width="4.44140625" style="44" bestFit="1" customWidth="1"/>
    <col min="16" max="16" width="5.33203125" style="44" bestFit="1" customWidth="1"/>
    <col min="17" max="17" width="4.33203125" style="44" bestFit="1" customWidth="1"/>
    <col min="18" max="18" width="3.6640625" style="44" bestFit="1" customWidth="1"/>
    <col min="19" max="19" width="4.6640625" style="44" bestFit="1" customWidth="1"/>
    <col min="20" max="21" width="4.44140625" style="44" bestFit="1" customWidth="1"/>
    <col min="22" max="23" width="4.6640625" style="44" bestFit="1" customWidth="1"/>
    <col min="24" max="16384" width="23.88671875" style="8"/>
  </cols>
  <sheetData>
    <row r="1" spans="1:23" ht="46.8" x14ac:dyDescent="0.3">
      <c r="A1" s="1" t="s">
        <v>0</v>
      </c>
      <c r="B1" s="2" t="s">
        <v>1</v>
      </c>
      <c r="C1" s="2" t="s">
        <v>2</v>
      </c>
      <c r="D1" s="80" t="s">
        <v>3</v>
      </c>
      <c r="E1" s="2" t="s">
        <v>4</v>
      </c>
      <c r="F1" s="2" t="s">
        <v>5</v>
      </c>
      <c r="G1" s="3" t="s">
        <v>6</v>
      </c>
      <c r="H1" s="2" t="s">
        <v>7</v>
      </c>
      <c r="I1" s="2" t="s">
        <v>8</v>
      </c>
      <c r="J1" s="2" t="s">
        <v>9</v>
      </c>
      <c r="K1" s="2" t="s">
        <v>10</v>
      </c>
      <c r="L1" s="4" t="s">
        <v>11</v>
      </c>
      <c r="M1" s="4" t="s">
        <v>12</v>
      </c>
      <c r="N1" s="4" t="s">
        <v>13</v>
      </c>
      <c r="O1" s="5" t="s">
        <v>14</v>
      </c>
      <c r="P1" s="5" t="s">
        <v>15</v>
      </c>
      <c r="Q1" s="5" t="s">
        <v>16</v>
      </c>
      <c r="R1" s="6" t="s">
        <v>17</v>
      </c>
      <c r="S1" s="6" t="s">
        <v>18</v>
      </c>
      <c r="T1" s="6" t="s">
        <v>19</v>
      </c>
      <c r="U1" s="7" t="s">
        <v>20</v>
      </c>
      <c r="V1" s="7" t="s">
        <v>21</v>
      </c>
      <c r="W1" s="7" t="s">
        <v>22</v>
      </c>
    </row>
    <row r="2" spans="1:23" s="25" customFormat="1" ht="15.6" x14ac:dyDescent="0.3">
      <c r="A2" s="18" t="s">
        <v>23</v>
      </c>
      <c r="B2" s="19">
        <f>COUNTA(B3:B41)</f>
        <v>31</v>
      </c>
      <c r="C2" s="19">
        <f t="shared" ref="C2" si="0">COUNTA(C3:C41)</f>
        <v>27</v>
      </c>
      <c r="D2" s="81" t="s">
        <v>24</v>
      </c>
      <c r="E2" s="19"/>
      <c r="F2" s="19"/>
      <c r="G2" s="20"/>
      <c r="H2" s="19"/>
      <c r="I2" s="19"/>
      <c r="J2" s="19"/>
      <c r="K2" s="19"/>
      <c r="L2" s="21"/>
      <c r="M2" s="21"/>
      <c r="N2" s="21"/>
      <c r="O2" s="22"/>
      <c r="P2" s="22"/>
      <c r="Q2" s="22"/>
      <c r="R2" s="23"/>
      <c r="S2" s="23"/>
      <c r="T2" s="23"/>
      <c r="U2" s="24"/>
      <c r="V2" s="24"/>
      <c r="W2" s="24"/>
    </row>
    <row r="3" spans="1:23" s="36" customFormat="1" ht="15.6" x14ac:dyDescent="0.3">
      <c r="A3" s="15" t="s">
        <v>25</v>
      </c>
      <c r="B3" s="16"/>
      <c r="C3" s="16"/>
      <c r="D3" s="82" t="s">
        <v>26</v>
      </c>
      <c r="E3" s="16"/>
      <c r="F3" s="16"/>
      <c r="G3" s="17"/>
      <c r="H3" s="16"/>
      <c r="I3" s="16"/>
      <c r="J3" s="16"/>
      <c r="K3" s="16"/>
      <c r="L3" s="40"/>
      <c r="M3" s="40"/>
      <c r="N3" s="40"/>
      <c r="O3" s="40"/>
      <c r="P3" s="40"/>
      <c r="Q3" s="40"/>
      <c r="R3" s="40"/>
      <c r="S3" s="40"/>
      <c r="T3" s="40"/>
      <c r="U3" s="40"/>
      <c r="V3" s="40"/>
      <c r="W3" s="40"/>
    </row>
    <row r="4" spans="1:23" s="39" customFormat="1" ht="87" customHeight="1" x14ac:dyDescent="0.3">
      <c r="A4" s="37" t="s">
        <v>25</v>
      </c>
      <c r="B4" s="91" t="s">
        <v>27</v>
      </c>
      <c r="C4" s="91" t="s">
        <v>28</v>
      </c>
      <c r="D4" s="83" t="s">
        <v>29</v>
      </c>
      <c r="E4" s="55" t="s">
        <v>30</v>
      </c>
      <c r="F4" s="38"/>
      <c r="G4" s="38"/>
      <c r="H4" s="38"/>
      <c r="I4" s="38"/>
      <c r="J4" s="38"/>
      <c r="K4" s="38"/>
      <c r="L4" s="41"/>
      <c r="M4" s="42" t="s">
        <v>31</v>
      </c>
      <c r="N4" s="42" t="s">
        <v>32</v>
      </c>
      <c r="O4" s="43" t="s">
        <v>33</v>
      </c>
      <c r="P4" s="43" t="s">
        <v>34</v>
      </c>
      <c r="Q4" s="43" t="s">
        <v>35</v>
      </c>
      <c r="S4" s="52" t="s">
        <v>36</v>
      </c>
      <c r="T4" s="52" t="s">
        <v>37</v>
      </c>
      <c r="U4" s="44"/>
      <c r="V4" s="44"/>
      <c r="W4" s="44"/>
    </row>
    <row r="5" spans="1:23" ht="82.8" x14ac:dyDescent="0.3">
      <c r="A5" s="10" t="s">
        <v>25</v>
      </c>
      <c r="B5" s="11" t="s">
        <v>38</v>
      </c>
      <c r="C5" s="11" t="s">
        <v>39</v>
      </c>
      <c r="D5" s="84" t="s">
        <v>29</v>
      </c>
      <c r="E5" s="10" t="s">
        <v>40</v>
      </c>
      <c r="F5" s="9"/>
      <c r="G5" s="9"/>
      <c r="H5" s="9"/>
      <c r="I5" s="9"/>
      <c r="J5" s="9"/>
      <c r="K5" s="9"/>
    </row>
    <row r="6" spans="1:23" ht="110.4" x14ac:dyDescent="0.3">
      <c r="A6" s="10" t="s">
        <v>25</v>
      </c>
      <c r="B6" s="11" t="s">
        <v>41</v>
      </c>
      <c r="C6" s="11" t="s">
        <v>42</v>
      </c>
      <c r="D6" s="84" t="s">
        <v>43</v>
      </c>
      <c r="E6" s="56" t="s">
        <v>44</v>
      </c>
      <c r="F6" s="9" t="s">
        <v>45</v>
      </c>
      <c r="G6" s="9" t="s">
        <v>46</v>
      </c>
      <c r="H6" s="9" t="s">
        <v>47</v>
      </c>
      <c r="I6" s="9" t="s">
        <v>47</v>
      </c>
      <c r="J6" s="9" t="s">
        <v>47</v>
      </c>
      <c r="K6" s="9" t="s">
        <v>47</v>
      </c>
      <c r="M6" s="51" t="s">
        <v>48</v>
      </c>
      <c r="N6" s="51" t="s">
        <v>49</v>
      </c>
      <c r="O6" s="51" t="s">
        <v>50</v>
      </c>
      <c r="P6" s="51" t="s">
        <v>50</v>
      </c>
      <c r="Q6" s="51" t="s">
        <v>51</v>
      </c>
      <c r="R6" s="52" t="s">
        <v>51</v>
      </c>
      <c r="W6" s="54" t="s">
        <v>52</v>
      </c>
    </row>
    <row r="7" spans="1:23" ht="69" x14ac:dyDescent="0.3">
      <c r="A7" s="10" t="s">
        <v>25</v>
      </c>
      <c r="B7" s="11" t="s">
        <v>53</v>
      </c>
      <c r="C7" s="11" t="s">
        <v>54</v>
      </c>
      <c r="D7" s="84" t="s">
        <v>55</v>
      </c>
      <c r="E7" s="56" t="s">
        <v>56</v>
      </c>
      <c r="F7" s="9"/>
      <c r="G7" s="9"/>
      <c r="H7" s="9"/>
      <c r="I7" s="9"/>
      <c r="J7" s="9"/>
      <c r="K7" s="9"/>
    </row>
    <row r="8" spans="1:23" s="25" customFormat="1" x14ac:dyDescent="0.3">
      <c r="A8" s="28"/>
      <c r="B8" s="29"/>
      <c r="C8" s="29"/>
      <c r="D8" s="85"/>
      <c r="E8" s="30"/>
      <c r="F8" s="30"/>
      <c r="G8" s="30"/>
      <c r="H8" s="30"/>
      <c r="I8" s="30"/>
      <c r="J8" s="30"/>
      <c r="K8" s="30"/>
      <c r="L8" s="45"/>
      <c r="M8" s="46"/>
      <c r="N8" s="46"/>
      <c r="O8" s="46"/>
      <c r="P8" s="46"/>
      <c r="Q8" s="46"/>
      <c r="R8" s="46"/>
      <c r="S8" s="46"/>
      <c r="T8" s="46"/>
      <c r="U8" s="46"/>
      <c r="V8" s="46"/>
      <c r="W8" s="46"/>
    </row>
    <row r="9" spans="1:23" s="26" customFormat="1" x14ac:dyDescent="0.3">
      <c r="A9" s="26" t="s">
        <v>57</v>
      </c>
      <c r="B9" s="27"/>
      <c r="C9" s="27"/>
      <c r="D9" s="86" t="s">
        <v>58</v>
      </c>
      <c r="L9" s="47"/>
      <c r="M9" s="48"/>
      <c r="N9" s="48"/>
      <c r="O9" s="48"/>
      <c r="P9" s="48"/>
      <c r="Q9" s="48"/>
      <c r="R9" s="48"/>
      <c r="S9" s="48"/>
      <c r="T9" s="48"/>
      <c r="U9" s="48"/>
      <c r="V9" s="48"/>
      <c r="W9" s="48"/>
    </row>
    <row r="10" spans="1:23" ht="138.75" customHeight="1" x14ac:dyDescent="0.3">
      <c r="A10" s="12" t="s">
        <v>57</v>
      </c>
      <c r="B10" s="13" t="s">
        <v>59</v>
      </c>
      <c r="C10" s="13" t="s">
        <v>60</v>
      </c>
      <c r="D10" s="87" t="s">
        <v>29</v>
      </c>
      <c r="E10" s="8" t="s">
        <v>61</v>
      </c>
    </row>
    <row r="11" spans="1:23" ht="111.75" customHeight="1" x14ac:dyDescent="0.3">
      <c r="A11" s="12" t="s">
        <v>57</v>
      </c>
      <c r="B11" s="13" t="s">
        <v>62</v>
      </c>
      <c r="C11" s="13" t="s">
        <v>63</v>
      </c>
      <c r="D11" s="87" t="s">
        <v>29</v>
      </c>
      <c r="E11" s="8" t="s">
        <v>61</v>
      </c>
    </row>
    <row r="12" spans="1:23" ht="87" customHeight="1" x14ac:dyDescent="0.3">
      <c r="A12" s="12" t="s">
        <v>57</v>
      </c>
      <c r="B12" s="13" t="s">
        <v>64</v>
      </c>
      <c r="C12" s="13" t="s">
        <v>65</v>
      </c>
      <c r="D12" s="87" t="s">
        <v>29</v>
      </c>
      <c r="E12" s="8" t="s">
        <v>61</v>
      </c>
    </row>
    <row r="13" spans="1:23" ht="98.25" customHeight="1" x14ac:dyDescent="0.3">
      <c r="A13" s="12" t="s">
        <v>57</v>
      </c>
      <c r="B13" s="13" t="s">
        <v>66</v>
      </c>
      <c r="C13" s="13" t="s">
        <v>67</v>
      </c>
      <c r="D13" s="87" t="s">
        <v>29</v>
      </c>
      <c r="E13" s="8" t="s">
        <v>61</v>
      </c>
    </row>
    <row r="14" spans="1:23" ht="69" x14ac:dyDescent="0.3">
      <c r="A14" s="12" t="s">
        <v>57</v>
      </c>
      <c r="B14" s="13" t="s">
        <v>68</v>
      </c>
      <c r="C14" s="13" t="s">
        <v>69</v>
      </c>
      <c r="D14" s="87" t="s">
        <v>58</v>
      </c>
      <c r="E14" s="57" t="s">
        <v>70</v>
      </c>
    </row>
    <row r="15" spans="1:23" ht="69" x14ac:dyDescent="0.3">
      <c r="A15" s="12" t="s">
        <v>57</v>
      </c>
      <c r="B15" s="13" t="s">
        <v>71</v>
      </c>
      <c r="C15" s="13"/>
      <c r="D15" s="87" t="s">
        <v>58</v>
      </c>
      <c r="E15" s="12" t="s">
        <v>72</v>
      </c>
    </row>
    <row r="16" spans="1:23" ht="82.8" x14ac:dyDescent="0.3">
      <c r="A16" s="12" t="s">
        <v>57</v>
      </c>
      <c r="B16" s="13" t="s">
        <v>73</v>
      </c>
      <c r="C16" s="13" t="s">
        <v>74</v>
      </c>
      <c r="D16" s="87" t="s">
        <v>75</v>
      </c>
      <c r="E16" s="12" t="s">
        <v>76</v>
      </c>
      <c r="M16" s="51" t="s">
        <v>31</v>
      </c>
      <c r="N16" s="51" t="s">
        <v>77</v>
      </c>
      <c r="O16" s="43" t="s">
        <v>78</v>
      </c>
      <c r="P16" s="43" t="s">
        <v>78</v>
      </c>
      <c r="Q16" s="43" t="s">
        <v>79</v>
      </c>
      <c r="R16" s="52" t="s">
        <v>80</v>
      </c>
      <c r="S16" s="52" t="s">
        <v>35</v>
      </c>
      <c r="T16" s="52" t="s">
        <v>35</v>
      </c>
    </row>
    <row r="17" spans="1:23" ht="99" customHeight="1" x14ac:dyDescent="0.3">
      <c r="A17" s="12" t="s">
        <v>57</v>
      </c>
      <c r="B17" s="13" t="s">
        <v>81</v>
      </c>
      <c r="C17" s="13" t="s">
        <v>82</v>
      </c>
      <c r="D17" s="87" t="s">
        <v>55</v>
      </c>
      <c r="E17" s="12" t="s">
        <v>83</v>
      </c>
    </row>
    <row r="18" spans="1:23" ht="55.5" customHeight="1" x14ac:dyDescent="0.3">
      <c r="A18" s="12" t="s">
        <v>57</v>
      </c>
      <c r="B18" s="13" t="s">
        <v>84</v>
      </c>
      <c r="C18" s="92" t="s">
        <v>85</v>
      </c>
      <c r="D18" s="87" t="s">
        <v>55</v>
      </c>
      <c r="E18" s="12" t="s">
        <v>83</v>
      </c>
    </row>
    <row r="19" spans="1:23" s="25" customFormat="1" ht="84.75" customHeight="1" x14ac:dyDescent="0.3">
      <c r="A19" s="32" t="s">
        <v>57</v>
      </c>
      <c r="B19" s="33" t="s">
        <v>86</v>
      </c>
      <c r="C19" s="93" t="s">
        <v>87</v>
      </c>
      <c r="D19" s="88" t="s">
        <v>88</v>
      </c>
      <c r="E19" s="58" t="s">
        <v>89</v>
      </c>
      <c r="L19" s="45"/>
      <c r="M19" s="46"/>
      <c r="N19" s="46"/>
      <c r="O19" s="46"/>
      <c r="P19" s="46"/>
      <c r="Q19" s="46"/>
      <c r="R19" s="46"/>
      <c r="S19" s="46"/>
      <c r="T19" s="46"/>
      <c r="U19" s="46"/>
      <c r="V19" s="46"/>
      <c r="W19" s="46"/>
    </row>
    <row r="20" spans="1:23" s="26" customFormat="1" x14ac:dyDescent="0.3">
      <c r="A20" s="15" t="s">
        <v>90</v>
      </c>
      <c r="B20" s="31"/>
      <c r="C20" s="94"/>
      <c r="D20" s="89" t="s">
        <v>61</v>
      </c>
      <c r="E20" s="15"/>
      <c r="F20" s="15"/>
      <c r="G20" s="15"/>
      <c r="H20" s="15"/>
      <c r="I20" s="15"/>
      <c r="J20" s="15"/>
      <c r="K20" s="15"/>
      <c r="L20" s="47"/>
      <c r="M20" s="48"/>
      <c r="N20" s="48"/>
      <c r="O20" s="48"/>
      <c r="P20" s="48"/>
      <c r="Q20" s="48"/>
      <c r="R20" s="48"/>
      <c r="S20" s="48"/>
      <c r="T20" s="48"/>
      <c r="U20" s="48"/>
      <c r="V20" s="48"/>
      <c r="W20" s="48"/>
    </row>
    <row r="21" spans="1:23" ht="69" x14ac:dyDescent="0.3">
      <c r="A21" s="10" t="s">
        <v>90</v>
      </c>
      <c r="B21" s="14" t="s">
        <v>91</v>
      </c>
      <c r="C21" s="14" t="s">
        <v>92</v>
      </c>
      <c r="D21" s="84" t="s">
        <v>93</v>
      </c>
      <c r="E21" s="56" t="s">
        <v>94</v>
      </c>
      <c r="F21" s="9"/>
      <c r="G21" s="9"/>
      <c r="H21" s="9"/>
      <c r="I21" s="9"/>
      <c r="J21" s="9"/>
      <c r="K21" s="9"/>
    </row>
    <row r="22" spans="1:23" ht="78" customHeight="1" x14ac:dyDescent="0.3">
      <c r="A22" s="10" t="s">
        <v>90</v>
      </c>
      <c r="B22" s="14" t="s">
        <v>95</v>
      </c>
      <c r="C22" s="14" t="s">
        <v>96</v>
      </c>
      <c r="D22" s="84" t="s">
        <v>61</v>
      </c>
      <c r="E22" s="10" t="s">
        <v>97</v>
      </c>
      <c r="F22" s="9"/>
      <c r="G22" s="9"/>
      <c r="H22" s="9"/>
      <c r="I22" s="9"/>
      <c r="J22" s="9"/>
      <c r="K22" s="9"/>
    </row>
    <row r="23" spans="1:23" ht="69" x14ac:dyDescent="0.3">
      <c r="A23" s="10" t="s">
        <v>90</v>
      </c>
      <c r="B23" s="14" t="s">
        <v>98</v>
      </c>
      <c r="C23" s="14" t="s">
        <v>99</v>
      </c>
      <c r="D23" s="84" t="s">
        <v>61</v>
      </c>
      <c r="E23" s="10" t="s">
        <v>100</v>
      </c>
      <c r="F23" s="9"/>
      <c r="G23" s="9"/>
      <c r="H23" s="9"/>
      <c r="I23" s="9"/>
      <c r="J23" s="9"/>
      <c r="K23" s="9"/>
    </row>
    <row r="24" spans="1:23" ht="69" customHeight="1" x14ac:dyDescent="0.3">
      <c r="A24" s="10" t="s">
        <v>90</v>
      </c>
      <c r="B24" s="14" t="s">
        <v>101</v>
      </c>
      <c r="C24" s="14" t="s">
        <v>102</v>
      </c>
      <c r="D24" s="84" t="s">
        <v>61</v>
      </c>
      <c r="E24" s="10" t="s">
        <v>100</v>
      </c>
      <c r="F24" s="9"/>
      <c r="G24" s="9"/>
      <c r="H24" s="9"/>
      <c r="I24" s="9"/>
      <c r="J24" s="9"/>
      <c r="K24" s="9"/>
    </row>
    <row r="25" spans="1:23" ht="82.8" x14ac:dyDescent="0.3">
      <c r="A25" s="10" t="s">
        <v>90</v>
      </c>
      <c r="B25" s="14" t="s">
        <v>103</v>
      </c>
      <c r="C25" s="14" t="s">
        <v>104</v>
      </c>
      <c r="D25" s="84" t="s">
        <v>61</v>
      </c>
      <c r="E25" s="10" t="s">
        <v>105</v>
      </c>
      <c r="F25" s="9"/>
      <c r="G25" s="9"/>
      <c r="H25" s="9"/>
      <c r="I25" s="9"/>
      <c r="J25" s="9"/>
      <c r="K25" s="9"/>
    </row>
    <row r="26" spans="1:23" ht="78.75" customHeight="1" x14ac:dyDescent="0.3">
      <c r="A26" s="10" t="s">
        <v>90</v>
      </c>
      <c r="B26" s="14" t="s">
        <v>106</v>
      </c>
      <c r="C26" s="14" t="s">
        <v>107</v>
      </c>
      <c r="D26" s="84" t="s">
        <v>61</v>
      </c>
      <c r="E26" s="10" t="s">
        <v>108</v>
      </c>
      <c r="F26" s="9"/>
      <c r="G26" s="9"/>
      <c r="H26" s="9"/>
      <c r="I26" s="9"/>
      <c r="J26" s="9"/>
      <c r="K26" s="9"/>
    </row>
    <row r="27" spans="1:23" s="25" customFormat="1" ht="84" customHeight="1" x14ac:dyDescent="0.3">
      <c r="A27" s="28" t="s">
        <v>90</v>
      </c>
      <c r="B27" s="35" t="s">
        <v>109</v>
      </c>
      <c r="C27" s="95"/>
      <c r="D27" s="84" t="s">
        <v>61</v>
      </c>
      <c r="E27" s="10" t="s">
        <v>108</v>
      </c>
      <c r="F27" s="30"/>
      <c r="G27" s="30"/>
      <c r="H27" s="30"/>
      <c r="I27" s="30"/>
      <c r="J27" s="30"/>
      <c r="K27" s="30"/>
      <c r="L27" s="45"/>
      <c r="M27" s="46"/>
      <c r="N27" s="46"/>
      <c r="O27" s="46"/>
      <c r="P27" s="46"/>
      <c r="Q27" s="46"/>
      <c r="R27" s="46"/>
      <c r="S27" s="46"/>
      <c r="T27" s="46"/>
      <c r="U27" s="46"/>
      <c r="V27" s="46"/>
      <c r="W27" s="46"/>
    </row>
    <row r="28" spans="1:23" s="26" customFormat="1" x14ac:dyDescent="0.3">
      <c r="A28" s="26" t="s">
        <v>110</v>
      </c>
      <c r="B28" s="34"/>
      <c r="C28" s="96"/>
      <c r="D28" s="86" t="s">
        <v>55</v>
      </c>
      <c r="L28" s="47"/>
      <c r="M28" s="48"/>
      <c r="N28" s="48"/>
      <c r="O28" s="48"/>
      <c r="P28" s="48"/>
      <c r="Q28" s="48"/>
      <c r="R28" s="48"/>
      <c r="S28" s="48"/>
      <c r="T28" s="48"/>
      <c r="U28" s="48"/>
      <c r="V28" s="48"/>
      <c r="W28" s="48"/>
    </row>
    <row r="29" spans="1:23" ht="144" customHeight="1" x14ac:dyDescent="0.3">
      <c r="A29" s="12" t="s">
        <v>110</v>
      </c>
      <c r="B29" s="13" t="s">
        <v>111</v>
      </c>
      <c r="C29" s="13" t="s">
        <v>112</v>
      </c>
      <c r="D29" s="87" t="s">
        <v>55</v>
      </c>
      <c r="E29" s="53" t="s">
        <v>113</v>
      </c>
    </row>
    <row r="30" spans="1:23" ht="82.8" x14ac:dyDescent="0.3">
      <c r="A30" s="12" t="s">
        <v>110</v>
      </c>
      <c r="B30" s="13" t="s">
        <v>114</v>
      </c>
      <c r="C30" s="13" t="s">
        <v>115</v>
      </c>
      <c r="D30" s="87" t="s">
        <v>55</v>
      </c>
      <c r="E30" s="12" t="s">
        <v>116</v>
      </c>
    </row>
    <row r="31" spans="1:23" ht="110.4" x14ac:dyDescent="0.3">
      <c r="A31" s="12" t="s">
        <v>110</v>
      </c>
      <c r="B31" s="13" t="s">
        <v>117</v>
      </c>
      <c r="C31" s="13" t="s">
        <v>118</v>
      </c>
      <c r="D31" s="87" t="s">
        <v>55</v>
      </c>
      <c r="E31" s="8" t="s">
        <v>119</v>
      </c>
    </row>
    <row r="32" spans="1:23" ht="124.2" x14ac:dyDescent="0.3">
      <c r="A32" s="12" t="s">
        <v>110</v>
      </c>
      <c r="B32" s="13" t="s">
        <v>120</v>
      </c>
      <c r="C32" s="13" t="s">
        <v>121</v>
      </c>
      <c r="D32" s="87" t="s">
        <v>122</v>
      </c>
      <c r="E32" s="8" t="s">
        <v>123</v>
      </c>
    </row>
    <row r="33" spans="1:23" s="26" customFormat="1" x14ac:dyDescent="0.3">
      <c r="A33" s="15" t="s">
        <v>124</v>
      </c>
      <c r="B33" s="94"/>
      <c r="C33" s="31"/>
      <c r="D33" s="89" t="s">
        <v>61</v>
      </c>
      <c r="E33" s="15"/>
      <c r="F33" s="15"/>
      <c r="G33" s="15"/>
      <c r="H33" s="15"/>
      <c r="I33" s="15"/>
      <c r="J33" s="15"/>
      <c r="K33" s="15"/>
      <c r="L33" s="47"/>
      <c r="M33" s="48"/>
      <c r="N33" s="48"/>
      <c r="O33" s="48"/>
      <c r="P33" s="48"/>
      <c r="Q33" s="48"/>
      <c r="R33" s="48"/>
      <c r="S33" s="48"/>
      <c r="T33" s="48"/>
      <c r="U33" s="48"/>
      <c r="V33" s="48"/>
      <c r="W33" s="48"/>
    </row>
    <row r="34" spans="1:23" ht="69" x14ac:dyDescent="0.3">
      <c r="A34" s="10" t="s">
        <v>124</v>
      </c>
      <c r="B34" s="14" t="s">
        <v>125</v>
      </c>
      <c r="C34" s="14" t="s">
        <v>126</v>
      </c>
      <c r="D34" s="84" t="s">
        <v>61</v>
      </c>
      <c r="E34" s="10" t="s">
        <v>127</v>
      </c>
      <c r="F34" s="9"/>
      <c r="G34" s="9"/>
      <c r="H34" s="9"/>
      <c r="I34" s="9"/>
      <c r="J34" s="9"/>
      <c r="K34" s="9"/>
    </row>
    <row r="35" spans="1:23" ht="82.8" x14ac:dyDescent="0.3">
      <c r="A35" s="10" t="s">
        <v>124</v>
      </c>
      <c r="B35" s="14" t="s">
        <v>128</v>
      </c>
      <c r="C35" s="14" t="s">
        <v>129</v>
      </c>
      <c r="D35" s="84" t="s">
        <v>61</v>
      </c>
      <c r="E35" s="10" t="s">
        <v>127</v>
      </c>
      <c r="F35" s="9"/>
      <c r="G35" s="9"/>
      <c r="H35" s="9"/>
      <c r="I35" s="9"/>
      <c r="J35" s="9"/>
      <c r="K35" s="9"/>
    </row>
    <row r="36" spans="1:23" ht="69" x14ac:dyDescent="0.3">
      <c r="A36" s="10" t="s">
        <v>124</v>
      </c>
      <c r="B36" s="14" t="s">
        <v>130</v>
      </c>
      <c r="C36" s="14" t="s">
        <v>131</v>
      </c>
      <c r="D36" s="84" t="s">
        <v>61</v>
      </c>
      <c r="E36" s="10" t="s">
        <v>127</v>
      </c>
      <c r="F36" s="9"/>
      <c r="G36" s="9"/>
      <c r="H36" s="9"/>
      <c r="I36" s="9"/>
      <c r="J36" s="9"/>
      <c r="K36" s="9"/>
    </row>
    <row r="37" spans="1:23" ht="43.2" x14ac:dyDescent="0.3">
      <c r="A37" s="10" t="s">
        <v>124</v>
      </c>
      <c r="B37" s="14" t="s">
        <v>132</v>
      </c>
      <c r="C37" s="14" t="s">
        <v>133</v>
      </c>
      <c r="D37" s="84" t="s">
        <v>61</v>
      </c>
      <c r="E37" s="10" t="s">
        <v>127</v>
      </c>
      <c r="F37" s="9"/>
      <c r="G37" s="9"/>
      <c r="H37" s="9"/>
      <c r="I37" s="9"/>
      <c r="J37" s="9"/>
      <c r="K37" s="9"/>
    </row>
    <row r="38" spans="1:23" ht="43.2" x14ac:dyDescent="0.3">
      <c r="A38" s="10" t="s">
        <v>124</v>
      </c>
      <c r="B38" s="14" t="s">
        <v>134</v>
      </c>
      <c r="C38" s="97"/>
      <c r="D38" s="84" t="s">
        <v>61</v>
      </c>
      <c r="E38" s="10" t="s">
        <v>127</v>
      </c>
      <c r="F38" s="9"/>
      <c r="G38" s="9"/>
      <c r="H38" s="9"/>
      <c r="I38" s="9"/>
      <c r="J38" s="9"/>
      <c r="K38" s="9"/>
    </row>
    <row r="39" spans="1:23" s="25" customFormat="1" ht="72.75" customHeight="1" x14ac:dyDescent="0.3">
      <c r="A39" s="28" t="s">
        <v>124</v>
      </c>
      <c r="B39" s="35" t="s">
        <v>135</v>
      </c>
      <c r="C39" s="95"/>
      <c r="D39" s="84" t="s">
        <v>61</v>
      </c>
      <c r="E39" s="10" t="s">
        <v>127</v>
      </c>
      <c r="F39" s="30"/>
      <c r="G39" s="30"/>
      <c r="H39" s="30"/>
      <c r="I39" s="30"/>
      <c r="J39" s="30"/>
      <c r="K39" s="30"/>
      <c r="L39" s="45"/>
      <c r="M39" s="46"/>
      <c r="N39" s="46"/>
      <c r="O39" s="46"/>
      <c r="P39" s="46"/>
      <c r="Q39" s="46"/>
      <c r="R39" s="46"/>
      <c r="S39" s="46"/>
      <c r="T39" s="46"/>
      <c r="U39" s="46"/>
      <c r="V39" s="46"/>
      <c r="W39" s="46"/>
    </row>
    <row r="40" spans="1:23" s="36" customFormat="1" x14ac:dyDescent="0.3">
      <c r="B40" s="98"/>
      <c r="C40" s="98"/>
      <c r="D40" s="90"/>
      <c r="L40" s="49"/>
      <c r="M40" s="50"/>
      <c r="N40" s="50"/>
      <c r="O40" s="50"/>
      <c r="P40" s="50"/>
      <c r="Q40" s="50"/>
      <c r="R40" s="50"/>
      <c r="S40" s="50"/>
      <c r="T40" s="50"/>
      <c r="U40" s="50"/>
      <c r="V40" s="50"/>
      <c r="W40" s="5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CBE49-3B90-4CF8-A0B0-AE1985AE1FC7}">
  <dimension ref="A1:I49"/>
  <sheetViews>
    <sheetView topLeftCell="A7" workbookViewId="0">
      <selection activeCell="E23" sqref="E23"/>
    </sheetView>
  </sheetViews>
  <sheetFormatPr defaultColWidth="23.88671875" defaultRowHeight="14.4" x14ac:dyDescent="0.3"/>
  <cols>
    <col min="1" max="1" width="22" style="8" customWidth="1"/>
    <col min="2" max="2" width="35.88671875" style="8" customWidth="1"/>
    <col min="3" max="3" width="14.88671875" style="8" customWidth="1"/>
    <col min="4" max="4" width="11.88671875" style="76" bestFit="1" customWidth="1"/>
    <col min="5" max="5" width="21.109375" style="8" customWidth="1"/>
    <col min="6" max="6" width="28.88671875" style="8" customWidth="1"/>
    <col min="7" max="7" width="23.6640625" style="8" customWidth="1"/>
    <col min="8" max="8" width="23.88671875" style="8"/>
    <col min="9" max="9" width="50.44140625" style="8" customWidth="1"/>
    <col min="10" max="16384" width="23.88671875" style="8"/>
  </cols>
  <sheetData>
    <row r="1" spans="1:9" ht="62.4" x14ac:dyDescent="0.3">
      <c r="A1" s="1" t="s">
        <v>0</v>
      </c>
      <c r="B1" s="2" t="s">
        <v>1</v>
      </c>
      <c r="C1" s="2" t="s">
        <v>136</v>
      </c>
      <c r="D1" s="77" t="s">
        <v>137</v>
      </c>
      <c r="E1" s="2" t="s">
        <v>138</v>
      </c>
      <c r="F1" s="2" t="s">
        <v>139</v>
      </c>
      <c r="G1" s="2" t="s">
        <v>140</v>
      </c>
      <c r="H1" s="59" t="s">
        <v>141</v>
      </c>
      <c r="I1" s="8" t="s">
        <v>142</v>
      </c>
    </row>
    <row r="2" spans="1:9" s="62" customFormat="1" ht="15.6" x14ac:dyDescent="0.3">
      <c r="A2" s="60" t="s">
        <v>25</v>
      </c>
      <c r="B2" s="61"/>
      <c r="D2" s="78">
        <f>SUM(D3:D6)</f>
        <v>245100</v>
      </c>
      <c r="E2" s="61">
        <f>SUM(E3:E6)</f>
        <v>0</v>
      </c>
      <c r="F2" s="69"/>
      <c r="G2" s="61">
        <f>SUM(G3:G6)</f>
        <v>0</v>
      </c>
      <c r="H2" s="61"/>
    </row>
    <row r="3" spans="1:9" s="36" customFormat="1" ht="15.6" x14ac:dyDescent="0.3">
      <c r="B3" s="67">
        <v>1.1000000000000001</v>
      </c>
      <c r="C3" s="67" t="s">
        <v>29</v>
      </c>
      <c r="D3" s="79">
        <v>210300</v>
      </c>
      <c r="E3" s="67" t="s">
        <v>47</v>
      </c>
      <c r="F3" s="70" t="s">
        <v>47</v>
      </c>
      <c r="G3" s="67" t="s">
        <v>143</v>
      </c>
      <c r="H3" s="67" t="s">
        <v>144</v>
      </c>
      <c r="I3" s="67" t="s">
        <v>145</v>
      </c>
    </row>
    <row r="4" spans="1:9" s="36" customFormat="1" ht="15.6" x14ac:dyDescent="0.3">
      <c r="B4" s="67">
        <v>1.2</v>
      </c>
      <c r="C4" s="67" t="s">
        <v>29</v>
      </c>
      <c r="D4" s="79">
        <v>34800</v>
      </c>
      <c r="E4" s="67" t="s">
        <v>47</v>
      </c>
      <c r="F4" s="70" t="s">
        <v>47</v>
      </c>
      <c r="G4" s="67" t="s">
        <v>146</v>
      </c>
      <c r="H4" s="67" t="s">
        <v>144</v>
      </c>
      <c r="I4" s="67" t="s">
        <v>145</v>
      </c>
    </row>
    <row r="5" spans="1:9" s="36" customFormat="1" ht="15.6" x14ac:dyDescent="0.3">
      <c r="B5" s="67">
        <v>1.3</v>
      </c>
      <c r="C5" s="67" t="s">
        <v>43</v>
      </c>
      <c r="D5" s="79"/>
      <c r="E5" s="67"/>
      <c r="F5" s="70"/>
      <c r="G5" s="67"/>
      <c r="H5" s="67"/>
    </row>
    <row r="6" spans="1:9" s="36" customFormat="1" ht="15.6" x14ac:dyDescent="0.3">
      <c r="B6" s="67">
        <v>1.4</v>
      </c>
      <c r="C6" s="67" t="s">
        <v>55</v>
      </c>
      <c r="D6" s="79"/>
      <c r="E6" s="67"/>
      <c r="F6" s="70"/>
      <c r="G6" s="67"/>
      <c r="H6" s="67"/>
    </row>
    <row r="7" spans="1:9" s="36" customFormat="1" ht="15.6" x14ac:dyDescent="0.3">
      <c r="B7" s="67" t="s">
        <v>147</v>
      </c>
      <c r="C7" s="67" t="s">
        <v>148</v>
      </c>
      <c r="D7" s="79">
        <v>15000</v>
      </c>
      <c r="E7" s="67"/>
      <c r="F7" s="70"/>
      <c r="G7" s="67"/>
      <c r="H7" s="67"/>
    </row>
    <row r="8" spans="1:9" s="60" customFormat="1" x14ac:dyDescent="0.3">
      <c r="A8" s="60" t="s">
        <v>57</v>
      </c>
      <c r="B8" s="63"/>
      <c r="D8" s="71">
        <f>D9+D10+D11+D12+D13+D14+D16+D18</f>
        <v>914591</v>
      </c>
      <c r="F8" s="71"/>
    </row>
    <row r="9" spans="1:9" s="36" customFormat="1" ht="15.6" x14ac:dyDescent="0.3">
      <c r="B9" s="65">
        <v>2.1</v>
      </c>
      <c r="C9" s="36" t="s">
        <v>29</v>
      </c>
      <c r="D9" s="72">
        <v>408901</v>
      </c>
      <c r="E9" s="72">
        <v>120000</v>
      </c>
      <c r="F9" s="36" t="s">
        <v>149</v>
      </c>
      <c r="G9" s="36" t="s">
        <v>150</v>
      </c>
      <c r="H9" s="36" t="s">
        <v>151</v>
      </c>
      <c r="I9" s="67" t="s">
        <v>145</v>
      </c>
    </row>
    <row r="10" spans="1:9" s="36" customFormat="1" ht="15.6" x14ac:dyDescent="0.3">
      <c r="B10" s="65">
        <v>2.2000000000000002</v>
      </c>
      <c r="C10" s="36" t="s">
        <v>29</v>
      </c>
      <c r="D10" s="72">
        <v>246500</v>
      </c>
      <c r="E10" s="72">
        <v>75000</v>
      </c>
      <c r="F10" s="36" t="s">
        <v>152</v>
      </c>
      <c r="G10" s="36" t="s">
        <v>153</v>
      </c>
      <c r="H10" s="36" t="s">
        <v>154</v>
      </c>
      <c r="I10" s="67" t="s">
        <v>145</v>
      </c>
    </row>
    <row r="11" spans="1:9" s="36" customFormat="1" ht="15.6" x14ac:dyDescent="0.3">
      <c r="B11" s="65">
        <v>2.2999999999999998</v>
      </c>
      <c r="C11" s="36" t="s">
        <v>29</v>
      </c>
      <c r="D11" s="72">
        <v>195600</v>
      </c>
      <c r="E11" s="72">
        <v>35000</v>
      </c>
      <c r="F11" s="36" t="s">
        <v>155</v>
      </c>
      <c r="G11" s="36" t="s">
        <v>146</v>
      </c>
      <c r="H11" s="36" t="s">
        <v>156</v>
      </c>
      <c r="I11" s="67" t="s">
        <v>145</v>
      </c>
    </row>
    <row r="12" spans="1:9" s="36" customFormat="1" ht="15.6" x14ac:dyDescent="0.3">
      <c r="B12" s="65">
        <v>2.4</v>
      </c>
      <c r="C12" s="36" t="s">
        <v>29</v>
      </c>
      <c r="D12" s="72">
        <v>63590</v>
      </c>
      <c r="E12" s="72">
        <v>20000</v>
      </c>
      <c r="F12" s="36" t="s">
        <v>157</v>
      </c>
      <c r="G12" s="36" t="s">
        <v>146</v>
      </c>
      <c r="H12" s="36" t="s">
        <v>149</v>
      </c>
      <c r="I12" s="67" t="s">
        <v>145</v>
      </c>
    </row>
    <row r="13" spans="1:9" s="36" customFormat="1" x14ac:dyDescent="0.3">
      <c r="B13" s="65" t="s">
        <v>158</v>
      </c>
      <c r="C13" s="36" t="s">
        <v>58</v>
      </c>
      <c r="D13" s="72"/>
      <c r="F13" s="72"/>
    </row>
    <row r="14" spans="1:9" s="36" customFormat="1" x14ac:dyDescent="0.3">
      <c r="B14" s="65">
        <v>2.7</v>
      </c>
      <c r="C14" s="36" t="s">
        <v>75</v>
      </c>
      <c r="D14" s="72"/>
      <c r="F14" s="72"/>
    </row>
    <row r="15" spans="1:9" s="36" customFormat="1" x14ac:dyDescent="0.3">
      <c r="B15" s="65" t="s">
        <v>159</v>
      </c>
      <c r="C15" s="36" t="s">
        <v>148</v>
      </c>
      <c r="D15" s="72">
        <v>22000</v>
      </c>
      <c r="E15" s="103">
        <f>D15+D17+D30+D7</f>
        <v>98000</v>
      </c>
      <c r="F15" s="72"/>
    </row>
    <row r="16" spans="1:9" s="36" customFormat="1" x14ac:dyDescent="0.3">
      <c r="B16" s="65">
        <v>2.9</v>
      </c>
      <c r="C16" s="36" t="s">
        <v>55</v>
      </c>
      <c r="D16" s="72"/>
      <c r="F16" s="72"/>
    </row>
    <row r="17" spans="1:9" s="36" customFormat="1" x14ac:dyDescent="0.3">
      <c r="B17" s="66" t="s">
        <v>160</v>
      </c>
      <c r="C17" s="36" t="s">
        <v>148</v>
      </c>
      <c r="D17" s="72">
        <v>36000</v>
      </c>
      <c r="F17" s="72"/>
    </row>
    <row r="18" spans="1:9" s="36" customFormat="1" x14ac:dyDescent="0.3">
      <c r="B18" s="66" t="s">
        <v>161</v>
      </c>
      <c r="C18" s="36" t="s">
        <v>88</v>
      </c>
      <c r="D18" s="72"/>
      <c r="F18" s="72"/>
    </row>
    <row r="19" spans="1:9" s="60" customFormat="1" x14ac:dyDescent="0.3">
      <c r="A19" s="60" t="s">
        <v>90</v>
      </c>
      <c r="B19" s="64"/>
      <c r="D19" s="71">
        <f>SUM(D20:D27)</f>
        <v>982304</v>
      </c>
      <c r="F19" s="71"/>
    </row>
    <row r="20" spans="1:9" s="26" customFormat="1" ht="15.6" x14ac:dyDescent="0.3">
      <c r="B20" s="68">
        <v>3.1</v>
      </c>
      <c r="C20" s="36" t="s">
        <v>61</v>
      </c>
      <c r="D20" s="72">
        <v>180000</v>
      </c>
      <c r="E20" s="72">
        <v>84000</v>
      </c>
      <c r="F20" s="36" t="s">
        <v>152</v>
      </c>
      <c r="G20" s="36" t="s">
        <v>162</v>
      </c>
      <c r="H20" s="36" t="s">
        <v>144</v>
      </c>
      <c r="I20" s="67" t="s">
        <v>163</v>
      </c>
    </row>
    <row r="21" spans="1:9" s="26" customFormat="1" x14ac:dyDescent="0.3">
      <c r="B21" s="68">
        <v>3.2</v>
      </c>
      <c r="C21" s="36" t="s">
        <v>61</v>
      </c>
      <c r="D21" s="72">
        <v>75000</v>
      </c>
      <c r="H21" s="36" t="s">
        <v>164</v>
      </c>
    </row>
    <row r="22" spans="1:9" s="26" customFormat="1" x14ac:dyDescent="0.3">
      <c r="B22" s="68">
        <v>3.3</v>
      </c>
      <c r="C22" s="36" t="s">
        <v>61</v>
      </c>
      <c r="D22" s="72">
        <v>175000</v>
      </c>
      <c r="F22" s="73"/>
    </row>
    <row r="23" spans="1:9" s="26" customFormat="1" x14ac:dyDescent="0.3">
      <c r="B23" s="68">
        <v>3.4</v>
      </c>
      <c r="C23" s="36" t="s">
        <v>61</v>
      </c>
      <c r="D23" s="72">
        <v>80000</v>
      </c>
      <c r="F23" s="73"/>
    </row>
    <row r="24" spans="1:9" s="26" customFormat="1" x14ac:dyDescent="0.3">
      <c r="B24" s="68">
        <v>3.5</v>
      </c>
      <c r="C24" s="36" t="s">
        <v>61</v>
      </c>
      <c r="D24" s="72">
        <v>25000</v>
      </c>
      <c r="F24" s="73"/>
    </row>
    <row r="25" spans="1:9" s="26" customFormat="1" x14ac:dyDescent="0.3">
      <c r="B25" s="68">
        <v>3.6</v>
      </c>
      <c r="C25" s="36" t="s">
        <v>61</v>
      </c>
      <c r="D25" s="72">
        <v>20000</v>
      </c>
      <c r="F25" s="73"/>
    </row>
    <row r="26" spans="1:9" s="26" customFormat="1" x14ac:dyDescent="0.3">
      <c r="B26" s="68" t="s">
        <v>165</v>
      </c>
      <c r="C26" s="36" t="s">
        <v>61</v>
      </c>
      <c r="D26" s="72">
        <v>260300</v>
      </c>
      <c r="F26" s="73"/>
    </row>
    <row r="27" spans="1:9" s="26" customFormat="1" x14ac:dyDescent="0.3">
      <c r="B27" s="68" t="s">
        <v>166</v>
      </c>
      <c r="C27" s="36" t="s">
        <v>61</v>
      </c>
      <c r="D27" s="72">
        <v>167004</v>
      </c>
      <c r="F27" s="73"/>
    </row>
    <row r="28" spans="1:9" s="15" customFormat="1" x14ac:dyDescent="0.3">
      <c r="A28" s="15" t="s">
        <v>110</v>
      </c>
      <c r="B28" s="31"/>
      <c r="D28" s="74"/>
      <c r="F28" s="74"/>
    </row>
    <row r="29" spans="1:9" s="36" customFormat="1" x14ac:dyDescent="0.3">
      <c r="B29" s="68" t="s">
        <v>167</v>
      </c>
      <c r="C29" s="36" t="s">
        <v>55</v>
      </c>
      <c r="D29" s="75"/>
      <c r="F29" s="75"/>
    </row>
    <row r="30" spans="1:9" s="36" customFormat="1" x14ac:dyDescent="0.3">
      <c r="B30" s="68" t="s">
        <v>168</v>
      </c>
      <c r="C30" s="36" t="s">
        <v>148</v>
      </c>
      <c r="D30" s="75">
        <v>25000</v>
      </c>
      <c r="F30" s="75"/>
    </row>
    <row r="31" spans="1:9" s="36" customFormat="1" x14ac:dyDescent="0.3">
      <c r="B31" s="68">
        <v>4.4000000000000004</v>
      </c>
      <c r="C31" s="36" t="s">
        <v>122</v>
      </c>
      <c r="D31" s="75"/>
      <c r="F31" s="75"/>
    </row>
    <row r="32" spans="1:9" s="26" customFormat="1" x14ac:dyDescent="0.3">
      <c r="A32" s="15" t="s">
        <v>124</v>
      </c>
      <c r="B32" s="15"/>
      <c r="C32" s="15"/>
      <c r="D32" s="74">
        <f>SUM(D33:D37)</f>
        <v>676730</v>
      </c>
      <c r="E32" s="15"/>
      <c r="F32" s="74"/>
      <c r="G32" s="15"/>
      <c r="H32" s="15"/>
      <c r="I32" s="15"/>
    </row>
    <row r="33" spans="1:9" s="36" customFormat="1" x14ac:dyDescent="0.3">
      <c r="B33" s="68">
        <v>5.0999999999999996</v>
      </c>
      <c r="C33" s="36" t="s">
        <v>61</v>
      </c>
      <c r="D33" s="72">
        <v>25000</v>
      </c>
      <c r="F33" s="36" t="s">
        <v>169</v>
      </c>
      <c r="I33" s="100" t="s">
        <v>170</v>
      </c>
    </row>
    <row r="34" spans="1:9" ht="86.4" x14ac:dyDescent="0.3">
      <c r="B34" s="68">
        <v>5.2</v>
      </c>
      <c r="C34" s="36" t="s">
        <v>61</v>
      </c>
      <c r="D34" s="72">
        <v>400000</v>
      </c>
      <c r="F34" s="8" t="s">
        <v>171</v>
      </c>
      <c r="G34" s="102" t="s">
        <v>172</v>
      </c>
      <c r="I34" s="100" t="s">
        <v>170</v>
      </c>
    </row>
    <row r="35" spans="1:9" x14ac:dyDescent="0.3">
      <c r="B35" s="68">
        <v>5.3</v>
      </c>
      <c r="C35" s="36" t="s">
        <v>61</v>
      </c>
      <c r="D35" s="72">
        <v>25000</v>
      </c>
    </row>
    <row r="36" spans="1:9" x14ac:dyDescent="0.3">
      <c r="B36" s="68" t="s">
        <v>165</v>
      </c>
      <c r="C36" s="36" t="s">
        <v>61</v>
      </c>
      <c r="D36" s="72">
        <v>167300</v>
      </c>
    </row>
    <row r="37" spans="1:9" x14ac:dyDescent="0.3">
      <c r="B37" s="68" t="s">
        <v>166</v>
      </c>
      <c r="C37" s="36" t="s">
        <v>61</v>
      </c>
      <c r="D37" s="72">
        <v>59430</v>
      </c>
    </row>
    <row r="40" spans="1:9" x14ac:dyDescent="0.3">
      <c r="A40" s="15" t="s">
        <v>173</v>
      </c>
      <c r="B40" s="15"/>
      <c r="C40" s="15"/>
      <c r="D40" s="74">
        <f>SUM(D41:D46)</f>
        <v>64500</v>
      </c>
      <c r="E40" s="15"/>
      <c r="F40" s="74"/>
      <c r="G40" s="15"/>
      <c r="H40" s="15"/>
      <c r="I40" s="15"/>
    </row>
    <row r="41" spans="1:9" x14ac:dyDescent="0.3">
      <c r="B41" s="8" t="s">
        <v>174</v>
      </c>
      <c r="C41" s="8" t="s">
        <v>175</v>
      </c>
      <c r="D41" s="76">
        <v>22500</v>
      </c>
    </row>
    <row r="42" spans="1:9" x14ac:dyDescent="0.3">
      <c r="B42" s="8" t="s">
        <v>176</v>
      </c>
      <c r="C42" s="8" t="s">
        <v>177</v>
      </c>
      <c r="D42" s="76">
        <v>12000</v>
      </c>
    </row>
    <row r="43" spans="1:9" x14ac:dyDescent="0.3">
      <c r="B43" s="8" t="s">
        <v>178</v>
      </c>
      <c r="D43" s="76">
        <v>15000</v>
      </c>
    </row>
    <row r="44" spans="1:9" x14ac:dyDescent="0.3">
      <c r="B44" s="8" t="s">
        <v>179</v>
      </c>
      <c r="D44" s="76">
        <v>15000</v>
      </c>
    </row>
    <row r="48" spans="1:9" x14ac:dyDescent="0.3">
      <c r="A48" s="8" t="s">
        <v>180</v>
      </c>
      <c r="B48" s="8" t="s">
        <v>181</v>
      </c>
      <c r="C48" s="101">
        <f>SUM(D3:D4)+SUM(D9:D12)+SUM(D20:D27)+SUM(D33:D37)</f>
        <v>2818725</v>
      </c>
    </row>
    <row r="49" spans="2:2" x14ac:dyDescent="0.3">
      <c r="B49" s="8" t="s">
        <v>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13EC-892C-414F-9C6E-6169725CB760}">
  <dimension ref="A1:J106"/>
  <sheetViews>
    <sheetView tabSelected="1" workbookViewId="0">
      <selection activeCell="J1" sqref="J1:J1048576"/>
    </sheetView>
  </sheetViews>
  <sheetFormatPr defaultColWidth="8.6640625" defaultRowHeight="14.4" outlineLevelRow="1" x14ac:dyDescent="0.3"/>
  <cols>
    <col min="1" max="1" width="6.21875" style="115" customWidth="1"/>
    <col min="2" max="2" width="29.109375" style="115" customWidth="1"/>
    <col min="3" max="3" width="17.6640625" style="115" customWidth="1"/>
    <col min="4" max="4" width="13.44140625" style="115" customWidth="1"/>
    <col min="5" max="5" width="10.44140625" style="115" customWidth="1"/>
    <col min="6" max="6" width="8.6640625" style="115" customWidth="1"/>
    <col min="7" max="7" width="12.6640625" style="115" customWidth="1"/>
    <col min="8" max="8" width="11.44140625" style="170" customWidth="1"/>
    <col min="9" max="9" width="12.21875" style="115" customWidth="1"/>
    <col min="10" max="10" width="12.88671875" style="115" bestFit="1" customWidth="1"/>
    <col min="11" max="16384" width="8.6640625" style="115"/>
  </cols>
  <sheetData>
    <row r="1" spans="1:10" s="111" customFormat="1" ht="26.55" customHeight="1" x14ac:dyDescent="0.3">
      <c r="A1" s="104"/>
      <c r="B1" s="105"/>
      <c r="C1" s="106"/>
      <c r="D1" s="106"/>
      <c r="E1" s="104"/>
      <c r="F1" s="107" t="s">
        <v>183</v>
      </c>
      <c r="G1" s="108"/>
      <c r="H1" s="109"/>
      <c r="I1" s="110"/>
    </row>
    <row r="2" spans="1:10" x14ac:dyDescent="0.3">
      <c r="A2" s="112" t="s">
        <v>184</v>
      </c>
      <c r="B2" s="112" t="s">
        <v>185</v>
      </c>
      <c r="C2" s="112" t="s">
        <v>186</v>
      </c>
      <c r="D2" s="112" t="s">
        <v>187</v>
      </c>
      <c r="E2" s="112" t="s">
        <v>188</v>
      </c>
      <c r="F2" s="112" t="s">
        <v>189</v>
      </c>
      <c r="G2" s="113" t="s">
        <v>190</v>
      </c>
      <c r="H2" s="114" t="s">
        <v>191</v>
      </c>
      <c r="I2" s="112" t="s">
        <v>192</v>
      </c>
    </row>
    <row r="3" spans="1:10" x14ac:dyDescent="0.3">
      <c r="A3" s="116" t="s">
        <v>193</v>
      </c>
      <c r="B3" s="117" t="s">
        <v>194</v>
      </c>
      <c r="C3" s="117" t="s">
        <v>195</v>
      </c>
      <c r="D3" s="117" t="s">
        <v>196</v>
      </c>
      <c r="E3" s="118"/>
      <c r="F3" s="119">
        <v>0.35</v>
      </c>
      <c r="G3" s="120">
        <v>185000</v>
      </c>
      <c r="H3" s="121">
        <v>12</v>
      </c>
      <c r="I3" s="122">
        <f t="shared" ref="I3:I30" si="0">G3/12*F3*H3</f>
        <v>64750</v>
      </c>
    </row>
    <row r="4" spans="1:10" x14ac:dyDescent="0.3">
      <c r="A4" s="116" t="s">
        <v>197</v>
      </c>
      <c r="B4" s="117" t="s">
        <v>198</v>
      </c>
      <c r="C4" s="123" t="s">
        <v>199</v>
      </c>
      <c r="D4" s="117" t="s">
        <v>196</v>
      </c>
      <c r="E4" s="118"/>
      <c r="F4" s="119">
        <v>0.2</v>
      </c>
      <c r="G4" s="120">
        <v>253000</v>
      </c>
      <c r="H4" s="121">
        <v>12</v>
      </c>
      <c r="I4" s="122">
        <f t="shared" si="0"/>
        <v>50600</v>
      </c>
    </row>
    <row r="5" spans="1:10" x14ac:dyDescent="0.3">
      <c r="A5" s="116" t="s">
        <v>200</v>
      </c>
      <c r="B5" s="117" t="s">
        <v>201</v>
      </c>
      <c r="C5" s="117" t="s">
        <v>202</v>
      </c>
      <c r="D5" s="117" t="s">
        <v>203</v>
      </c>
      <c r="E5" s="118"/>
      <c r="F5" s="119">
        <v>0.5</v>
      </c>
      <c r="G5" s="120">
        <v>196000</v>
      </c>
      <c r="H5" s="121">
        <v>12</v>
      </c>
      <c r="I5" s="122">
        <f t="shared" si="0"/>
        <v>98000</v>
      </c>
    </row>
    <row r="6" spans="1:10" x14ac:dyDescent="0.3">
      <c r="A6" s="116" t="s">
        <v>204</v>
      </c>
      <c r="B6" s="117" t="s">
        <v>205</v>
      </c>
      <c r="C6" s="117" t="s">
        <v>206</v>
      </c>
      <c r="D6" s="117" t="s">
        <v>207</v>
      </c>
      <c r="E6" s="118"/>
      <c r="F6" s="119">
        <v>0.1</v>
      </c>
      <c r="G6" s="120">
        <v>377000</v>
      </c>
      <c r="H6" s="121">
        <v>12</v>
      </c>
      <c r="I6" s="122">
        <f t="shared" si="0"/>
        <v>37700</v>
      </c>
    </row>
    <row r="7" spans="1:10" x14ac:dyDescent="0.3">
      <c r="A7" s="116" t="s">
        <v>197</v>
      </c>
      <c r="B7" s="117" t="s">
        <v>208</v>
      </c>
      <c r="C7" s="117" t="s">
        <v>209</v>
      </c>
      <c r="D7" s="117" t="s">
        <v>207</v>
      </c>
      <c r="E7" s="118"/>
      <c r="F7" s="119">
        <v>0.05</v>
      </c>
      <c r="G7" s="120">
        <v>253000</v>
      </c>
      <c r="H7" s="121">
        <v>12</v>
      </c>
      <c r="I7" s="122">
        <f t="shared" si="0"/>
        <v>12650</v>
      </c>
    </row>
    <row r="8" spans="1:10" x14ac:dyDescent="0.3">
      <c r="A8" s="116" t="s">
        <v>200</v>
      </c>
      <c r="B8" s="117" t="s">
        <v>210</v>
      </c>
      <c r="C8" s="117" t="s">
        <v>211</v>
      </c>
      <c r="D8" s="117" t="s">
        <v>207</v>
      </c>
      <c r="E8" s="118"/>
      <c r="F8" s="119">
        <v>0.05</v>
      </c>
      <c r="G8" s="120">
        <v>196000</v>
      </c>
      <c r="H8" s="121">
        <v>12</v>
      </c>
      <c r="I8" s="122">
        <f t="shared" si="0"/>
        <v>9800</v>
      </c>
    </row>
    <row r="9" spans="1:10" x14ac:dyDescent="0.3">
      <c r="A9" s="116" t="s">
        <v>200</v>
      </c>
      <c r="B9" s="117" t="s">
        <v>212</v>
      </c>
      <c r="C9" s="117" t="s">
        <v>213</v>
      </c>
      <c r="D9" s="117" t="s">
        <v>214</v>
      </c>
      <c r="E9" s="118"/>
      <c r="F9" s="119">
        <v>0.05</v>
      </c>
      <c r="G9" s="120">
        <v>196000</v>
      </c>
      <c r="H9" s="121">
        <v>12</v>
      </c>
      <c r="I9" s="122">
        <f t="shared" si="0"/>
        <v>9800</v>
      </c>
    </row>
    <row r="10" spans="1:10" x14ac:dyDescent="0.3">
      <c r="A10" s="124" t="s">
        <v>215</v>
      </c>
      <c r="B10" s="125"/>
      <c r="C10" s="125" t="s">
        <v>216</v>
      </c>
      <c r="D10" s="125" t="s">
        <v>196</v>
      </c>
      <c r="E10" s="126"/>
      <c r="F10" s="127">
        <v>1</v>
      </c>
      <c r="G10" s="128">
        <v>8988</v>
      </c>
      <c r="H10" s="129">
        <v>12</v>
      </c>
      <c r="I10" s="130">
        <f t="shared" si="0"/>
        <v>8988</v>
      </c>
    </row>
    <row r="11" spans="1:10" x14ac:dyDescent="0.3">
      <c r="A11" s="124" t="s">
        <v>217</v>
      </c>
      <c r="B11" s="125"/>
      <c r="C11" s="125" t="s">
        <v>218</v>
      </c>
      <c r="D11" s="125" t="s">
        <v>196</v>
      </c>
      <c r="E11" s="126"/>
      <c r="F11" s="127">
        <v>0.5</v>
      </c>
      <c r="G11" s="128">
        <v>15000</v>
      </c>
      <c r="H11" s="129">
        <v>12</v>
      </c>
      <c r="I11" s="130">
        <f t="shared" si="0"/>
        <v>7500</v>
      </c>
    </row>
    <row r="12" spans="1:10" x14ac:dyDescent="0.3">
      <c r="A12" s="124" t="s">
        <v>219</v>
      </c>
      <c r="B12" s="125"/>
      <c r="C12" s="125" t="s">
        <v>220</v>
      </c>
      <c r="D12" s="125" t="s">
        <v>196</v>
      </c>
      <c r="E12" s="126"/>
      <c r="F12" s="127">
        <v>1</v>
      </c>
      <c r="G12" s="128">
        <v>46117.65</v>
      </c>
      <c r="H12" s="129">
        <v>12</v>
      </c>
      <c r="I12" s="130">
        <f t="shared" si="0"/>
        <v>46117.65</v>
      </c>
      <c r="J12" s="131"/>
    </row>
    <row r="13" spans="1:10" x14ac:dyDescent="0.3">
      <c r="A13" s="124"/>
      <c r="B13" s="125"/>
      <c r="C13" s="125"/>
      <c r="D13" s="125"/>
      <c r="E13" s="126"/>
      <c r="F13" s="127"/>
      <c r="G13" s="128"/>
      <c r="H13" s="129"/>
      <c r="I13" s="130"/>
    </row>
    <row r="14" spans="1:10" hidden="1" outlineLevel="1" x14ac:dyDescent="0.3">
      <c r="A14" s="126"/>
      <c r="B14" s="125"/>
      <c r="C14" s="125"/>
      <c r="D14" s="125"/>
      <c r="E14" s="126"/>
      <c r="F14" s="127">
        <v>0</v>
      </c>
      <c r="G14" s="128"/>
      <c r="H14" s="129">
        <v>12</v>
      </c>
      <c r="I14" s="130">
        <f t="shared" si="0"/>
        <v>0</v>
      </c>
    </row>
    <row r="15" spans="1:10" hidden="1" outlineLevel="1" x14ac:dyDescent="0.3">
      <c r="A15" s="126"/>
      <c r="B15" s="125"/>
      <c r="C15" s="125"/>
      <c r="D15" s="125"/>
      <c r="E15" s="126"/>
      <c r="F15" s="127">
        <v>0</v>
      </c>
      <c r="G15" s="128"/>
      <c r="H15" s="129">
        <v>12</v>
      </c>
      <c r="I15" s="130">
        <f t="shared" si="0"/>
        <v>0</v>
      </c>
    </row>
    <row r="16" spans="1:10" hidden="1" outlineLevel="1" x14ac:dyDescent="0.3">
      <c r="A16" s="126"/>
      <c r="B16" s="125"/>
      <c r="C16" s="125"/>
      <c r="D16" s="125"/>
      <c r="E16" s="126"/>
      <c r="F16" s="127">
        <v>0</v>
      </c>
      <c r="G16" s="128"/>
      <c r="H16" s="129">
        <v>12</v>
      </c>
      <c r="I16" s="130">
        <f t="shared" si="0"/>
        <v>0</v>
      </c>
    </row>
    <row r="17" spans="1:9" hidden="1" outlineLevel="1" x14ac:dyDescent="0.3">
      <c r="A17" s="126"/>
      <c r="B17" s="125"/>
      <c r="C17" s="125"/>
      <c r="D17" s="125"/>
      <c r="E17" s="126"/>
      <c r="F17" s="127">
        <v>0</v>
      </c>
      <c r="G17" s="128"/>
      <c r="H17" s="129">
        <v>12</v>
      </c>
      <c r="I17" s="130">
        <f t="shared" si="0"/>
        <v>0</v>
      </c>
    </row>
    <row r="18" spans="1:9" hidden="1" outlineLevel="1" x14ac:dyDescent="0.3">
      <c r="A18" s="126"/>
      <c r="B18" s="125"/>
      <c r="C18" s="125"/>
      <c r="D18" s="125"/>
      <c r="E18" s="126"/>
      <c r="F18" s="127">
        <v>0</v>
      </c>
      <c r="G18" s="128"/>
      <c r="H18" s="129">
        <v>12</v>
      </c>
      <c r="I18" s="130">
        <f t="shared" si="0"/>
        <v>0</v>
      </c>
    </row>
    <row r="19" spans="1:9" hidden="1" outlineLevel="1" x14ac:dyDescent="0.3">
      <c r="A19" s="126"/>
      <c r="B19" s="125"/>
      <c r="C19" s="125"/>
      <c r="D19" s="125"/>
      <c r="E19" s="126"/>
      <c r="F19" s="127">
        <v>0</v>
      </c>
      <c r="G19" s="128"/>
      <c r="H19" s="129">
        <v>12</v>
      </c>
      <c r="I19" s="130">
        <f t="shared" si="0"/>
        <v>0</v>
      </c>
    </row>
    <row r="20" spans="1:9" hidden="1" outlineLevel="1" x14ac:dyDescent="0.3">
      <c r="A20" s="126"/>
      <c r="B20" s="125"/>
      <c r="C20" s="125"/>
      <c r="D20" s="125"/>
      <c r="E20" s="126"/>
      <c r="F20" s="127">
        <v>0</v>
      </c>
      <c r="G20" s="128"/>
      <c r="H20" s="129">
        <v>12</v>
      </c>
      <c r="I20" s="130">
        <f t="shared" si="0"/>
        <v>0</v>
      </c>
    </row>
    <row r="21" spans="1:9" hidden="1" outlineLevel="1" x14ac:dyDescent="0.3">
      <c r="A21" s="126"/>
      <c r="B21" s="125"/>
      <c r="C21" s="125"/>
      <c r="D21" s="125"/>
      <c r="E21" s="126"/>
      <c r="F21" s="127">
        <v>0</v>
      </c>
      <c r="G21" s="128"/>
      <c r="H21" s="129">
        <v>12</v>
      </c>
      <c r="I21" s="130">
        <f t="shared" si="0"/>
        <v>0</v>
      </c>
    </row>
    <row r="22" spans="1:9" hidden="1" outlineLevel="1" x14ac:dyDescent="0.3">
      <c r="A22" s="126"/>
      <c r="B22" s="125"/>
      <c r="C22" s="125"/>
      <c r="D22" s="125"/>
      <c r="E22" s="126"/>
      <c r="F22" s="127">
        <v>0</v>
      </c>
      <c r="G22" s="128"/>
      <c r="H22" s="129">
        <v>12</v>
      </c>
      <c r="I22" s="130">
        <f t="shared" si="0"/>
        <v>0</v>
      </c>
    </row>
    <row r="23" spans="1:9" hidden="1" outlineLevel="1" x14ac:dyDescent="0.3">
      <c r="A23" s="126"/>
      <c r="B23" s="125"/>
      <c r="C23" s="125"/>
      <c r="D23" s="125"/>
      <c r="E23" s="126"/>
      <c r="F23" s="127">
        <v>0</v>
      </c>
      <c r="G23" s="128"/>
      <c r="H23" s="129">
        <v>12</v>
      </c>
      <c r="I23" s="130">
        <f t="shared" si="0"/>
        <v>0</v>
      </c>
    </row>
    <row r="24" spans="1:9" hidden="1" outlineLevel="1" x14ac:dyDescent="0.3">
      <c r="A24" s="126"/>
      <c r="B24" s="125"/>
      <c r="C24" s="125"/>
      <c r="D24" s="125"/>
      <c r="E24" s="126"/>
      <c r="F24" s="127">
        <v>0</v>
      </c>
      <c r="G24" s="128"/>
      <c r="H24" s="129">
        <v>12</v>
      </c>
      <c r="I24" s="130">
        <f t="shared" si="0"/>
        <v>0</v>
      </c>
    </row>
    <row r="25" spans="1:9" hidden="1" outlineLevel="1" x14ac:dyDescent="0.3">
      <c r="A25" s="126"/>
      <c r="B25" s="125"/>
      <c r="C25" s="125"/>
      <c r="D25" s="125"/>
      <c r="E25" s="126"/>
      <c r="F25" s="127">
        <v>0</v>
      </c>
      <c r="G25" s="128"/>
      <c r="H25" s="129">
        <v>12</v>
      </c>
      <c r="I25" s="130">
        <f t="shared" si="0"/>
        <v>0</v>
      </c>
    </row>
    <row r="26" spans="1:9" hidden="1" outlineLevel="1" x14ac:dyDescent="0.3">
      <c r="A26" s="126"/>
      <c r="B26" s="125"/>
      <c r="C26" s="125"/>
      <c r="D26" s="125"/>
      <c r="E26" s="126"/>
      <c r="F26" s="127">
        <v>0</v>
      </c>
      <c r="G26" s="128"/>
      <c r="H26" s="129">
        <v>12</v>
      </c>
      <c r="I26" s="130">
        <f t="shared" si="0"/>
        <v>0</v>
      </c>
    </row>
    <row r="27" spans="1:9" hidden="1" outlineLevel="1" x14ac:dyDescent="0.3">
      <c r="A27" s="126"/>
      <c r="B27" s="125"/>
      <c r="C27" s="125"/>
      <c r="D27" s="125"/>
      <c r="E27" s="126"/>
      <c r="F27" s="127">
        <v>0</v>
      </c>
      <c r="G27" s="128"/>
      <c r="H27" s="129">
        <v>12</v>
      </c>
      <c r="I27" s="130">
        <f t="shared" si="0"/>
        <v>0</v>
      </c>
    </row>
    <row r="28" spans="1:9" hidden="1" outlineLevel="1" x14ac:dyDescent="0.3">
      <c r="A28" s="126"/>
      <c r="B28" s="125"/>
      <c r="C28" s="125"/>
      <c r="D28" s="125"/>
      <c r="E28" s="126"/>
      <c r="F28" s="127">
        <v>0</v>
      </c>
      <c r="G28" s="128"/>
      <c r="H28" s="129">
        <v>12</v>
      </c>
      <c r="I28" s="130">
        <f t="shared" si="0"/>
        <v>0</v>
      </c>
    </row>
    <row r="29" spans="1:9" hidden="1" outlineLevel="1" x14ac:dyDescent="0.3">
      <c r="A29" s="126"/>
      <c r="B29" s="125"/>
      <c r="C29" s="125"/>
      <c r="D29" s="125"/>
      <c r="E29" s="126"/>
      <c r="F29" s="127">
        <v>0</v>
      </c>
      <c r="G29" s="128"/>
      <c r="H29" s="129">
        <v>12</v>
      </c>
      <c r="I29" s="130">
        <f t="shared" si="0"/>
        <v>0</v>
      </c>
    </row>
    <row r="30" spans="1:9" hidden="1" outlineLevel="1" x14ac:dyDescent="0.3">
      <c r="A30" s="126"/>
      <c r="B30" s="125"/>
      <c r="C30" s="125"/>
      <c r="D30" s="125"/>
      <c r="E30" s="126"/>
      <c r="F30" s="127">
        <v>0</v>
      </c>
      <c r="G30" s="128"/>
      <c r="H30" s="129">
        <v>12</v>
      </c>
      <c r="I30" s="130">
        <f t="shared" si="0"/>
        <v>0</v>
      </c>
    </row>
    <row r="31" spans="1:9" hidden="1" outlineLevel="1" x14ac:dyDescent="0.3">
      <c r="A31" s="126"/>
      <c r="B31" s="125"/>
      <c r="C31" s="125"/>
      <c r="D31" s="125"/>
      <c r="E31" s="126"/>
      <c r="F31" s="127">
        <v>0</v>
      </c>
      <c r="G31" s="128"/>
      <c r="H31" s="129">
        <v>12</v>
      </c>
      <c r="I31" s="130">
        <f>G31/12*F31*H31</f>
        <v>0</v>
      </c>
    </row>
    <row r="32" spans="1:9" hidden="1" outlineLevel="1" x14ac:dyDescent="0.3">
      <c r="A32" s="126"/>
      <c r="B32" s="125"/>
      <c r="C32" s="125"/>
      <c r="D32" s="125"/>
      <c r="E32" s="126"/>
      <c r="F32" s="127">
        <v>0</v>
      </c>
      <c r="G32" s="128"/>
      <c r="H32" s="129">
        <v>12</v>
      </c>
      <c r="I32" s="130">
        <f t="shared" ref="I32:I42" si="1">G32/12*F32*H32</f>
        <v>0</v>
      </c>
    </row>
    <row r="33" spans="1:10" hidden="1" outlineLevel="1" x14ac:dyDescent="0.3">
      <c r="A33" s="126"/>
      <c r="B33" s="125"/>
      <c r="C33" s="125"/>
      <c r="D33" s="125"/>
      <c r="E33" s="126"/>
      <c r="F33" s="127">
        <v>0</v>
      </c>
      <c r="G33" s="128"/>
      <c r="H33" s="129">
        <v>12</v>
      </c>
      <c r="I33" s="130">
        <f t="shared" si="1"/>
        <v>0</v>
      </c>
    </row>
    <row r="34" spans="1:10" hidden="1" outlineLevel="1" x14ac:dyDescent="0.3">
      <c r="A34" s="126"/>
      <c r="B34" s="125"/>
      <c r="C34" s="125"/>
      <c r="D34" s="125"/>
      <c r="E34" s="126"/>
      <c r="F34" s="127">
        <v>0</v>
      </c>
      <c r="G34" s="128"/>
      <c r="H34" s="129">
        <v>12</v>
      </c>
      <c r="I34" s="130">
        <f t="shared" si="1"/>
        <v>0</v>
      </c>
    </row>
    <row r="35" spans="1:10" hidden="1" outlineLevel="1" x14ac:dyDescent="0.3">
      <c r="A35" s="126"/>
      <c r="B35" s="125"/>
      <c r="C35" s="125"/>
      <c r="D35" s="125"/>
      <c r="E35" s="126"/>
      <c r="F35" s="127">
        <v>0</v>
      </c>
      <c r="G35" s="128"/>
      <c r="H35" s="129">
        <v>12</v>
      </c>
      <c r="I35" s="130">
        <f t="shared" si="1"/>
        <v>0</v>
      </c>
    </row>
    <row r="36" spans="1:10" hidden="1" outlineLevel="1" x14ac:dyDescent="0.3">
      <c r="A36" s="126"/>
      <c r="B36" s="125"/>
      <c r="C36" s="125"/>
      <c r="D36" s="125"/>
      <c r="E36" s="126"/>
      <c r="F36" s="127">
        <v>0</v>
      </c>
      <c r="G36" s="128"/>
      <c r="H36" s="129">
        <v>12</v>
      </c>
      <c r="I36" s="130">
        <f t="shared" si="1"/>
        <v>0</v>
      </c>
    </row>
    <row r="37" spans="1:10" hidden="1" outlineLevel="1" x14ac:dyDescent="0.3">
      <c r="A37" s="126"/>
      <c r="B37" s="125"/>
      <c r="C37" s="125"/>
      <c r="D37" s="125"/>
      <c r="E37" s="126"/>
      <c r="F37" s="127">
        <v>0</v>
      </c>
      <c r="G37" s="128"/>
      <c r="H37" s="129">
        <v>12</v>
      </c>
      <c r="I37" s="130">
        <f t="shared" si="1"/>
        <v>0</v>
      </c>
    </row>
    <row r="38" spans="1:10" hidden="1" outlineLevel="1" x14ac:dyDescent="0.3">
      <c r="A38" s="126"/>
      <c r="B38" s="125"/>
      <c r="C38" s="125"/>
      <c r="D38" s="125"/>
      <c r="E38" s="126"/>
      <c r="F38" s="127">
        <v>0</v>
      </c>
      <c r="G38" s="128"/>
      <c r="H38" s="129">
        <v>12</v>
      </c>
      <c r="I38" s="130">
        <f t="shared" si="1"/>
        <v>0</v>
      </c>
    </row>
    <row r="39" spans="1:10" hidden="1" outlineLevel="1" x14ac:dyDescent="0.3">
      <c r="A39" s="126"/>
      <c r="B39" s="125"/>
      <c r="C39" s="125"/>
      <c r="D39" s="125"/>
      <c r="E39" s="126"/>
      <c r="F39" s="127">
        <v>0</v>
      </c>
      <c r="G39" s="128"/>
      <c r="H39" s="129">
        <v>12</v>
      </c>
      <c r="I39" s="130">
        <f t="shared" si="1"/>
        <v>0</v>
      </c>
    </row>
    <row r="40" spans="1:10" hidden="1" outlineLevel="1" x14ac:dyDescent="0.3">
      <c r="A40" s="126"/>
      <c r="B40" s="125"/>
      <c r="C40" s="125"/>
      <c r="D40" s="125"/>
      <c r="E40" s="126"/>
      <c r="F40" s="127">
        <v>0</v>
      </c>
      <c r="G40" s="128"/>
      <c r="H40" s="129">
        <v>12</v>
      </c>
      <c r="I40" s="130">
        <f t="shared" si="1"/>
        <v>0</v>
      </c>
    </row>
    <row r="41" spans="1:10" hidden="1" outlineLevel="1" x14ac:dyDescent="0.3">
      <c r="A41" s="126"/>
      <c r="B41" s="132"/>
      <c r="C41" s="132"/>
      <c r="D41" s="132"/>
      <c r="E41" s="126"/>
      <c r="F41" s="127">
        <v>0</v>
      </c>
      <c r="G41" s="128"/>
      <c r="H41" s="129">
        <v>12</v>
      </c>
      <c r="I41" s="130">
        <f t="shared" si="1"/>
        <v>0</v>
      </c>
    </row>
    <row r="42" spans="1:10" hidden="1" outlineLevel="1" x14ac:dyDescent="0.3">
      <c r="A42" s="126"/>
      <c r="B42" s="133"/>
      <c r="C42" s="133"/>
      <c r="D42" s="133"/>
      <c r="E42" s="126"/>
      <c r="F42" s="127">
        <v>0</v>
      </c>
      <c r="G42" s="128"/>
      <c r="H42" s="129">
        <v>12</v>
      </c>
      <c r="I42" s="130">
        <f t="shared" si="1"/>
        <v>0</v>
      </c>
    </row>
    <row r="43" spans="1:10" s="137" customFormat="1" collapsed="1" x14ac:dyDescent="0.3">
      <c r="A43" s="134"/>
      <c r="B43" s="134" t="s">
        <v>221</v>
      </c>
      <c r="C43" s="134"/>
      <c r="D43" s="134"/>
      <c r="E43" s="134"/>
      <c r="F43" s="134"/>
      <c r="G43" s="134"/>
      <c r="H43" s="135"/>
      <c r="I43" s="136">
        <f>SUM(I3:I42)</f>
        <v>345905.65</v>
      </c>
    </row>
    <row r="44" spans="1:10" s="141" customFormat="1" x14ac:dyDescent="0.3">
      <c r="A44" s="138"/>
      <c r="B44" s="138" t="s">
        <v>222</v>
      </c>
      <c r="C44" s="138"/>
      <c r="D44" s="138"/>
      <c r="E44" s="138"/>
      <c r="F44" s="138"/>
      <c r="G44" s="138"/>
      <c r="H44" s="139"/>
      <c r="I44" s="140">
        <f>+I45+I46+I47+I48</f>
        <v>240000</v>
      </c>
    </row>
    <row r="45" spans="1:10" x14ac:dyDescent="0.3">
      <c r="A45" s="142"/>
      <c r="B45" s="143" t="s">
        <v>223</v>
      </c>
      <c r="C45" s="143" t="s">
        <v>224</v>
      </c>
      <c r="D45" s="143" t="s">
        <v>225</v>
      </c>
      <c r="E45" s="142"/>
      <c r="F45" s="126">
        <v>1</v>
      </c>
      <c r="G45" s="128">
        <v>36000</v>
      </c>
      <c r="H45" s="129">
        <v>12</v>
      </c>
      <c r="I45" s="122">
        <f t="shared" ref="I45:I48" si="2">G45/12*F45*H45</f>
        <v>36000</v>
      </c>
    </row>
    <row r="46" spans="1:10" x14ac:dyDescent="0.3">
      <c r="A46" s="142"/>
      <c r="B46" s="143" t="s">
        <v>226</v>
      </c>
      <c r="C46" s="143" t="s">
        <v>224</v>
      </c>
      <c r="D46" s="143" t="s">
        <v>227</v>
      </c>
      <c r="E46" s="142"/>
      <c r="F46" s="126">
        <v>1</v>
      </c>
      <c r="G46" s="128">
        <v>36000</v>
      </c>
      <c r="H46" s="129">
        <v>12</v>
      </c>
      <c r="I46" s="122">
        <f t="shared" si="2"/>
        <v>36000</v>
      </c>
    </row>
    <row r="47" spans="1:10" x14ac:dyDescent="0.3">
      <c r="A47" s="142"/>
      <c r="B47" s="143" t="s">
        <v>228</v>
      </c>
      <c r="C47" s="143" t="s">
        <v>224</v>
      </c>
      <c r="D47" s="143" t="s">
        <v>203</v>
      </c>
      <c r="E47" s="142"/>
      <c r="F47" s="126">
        <v>3</v>
      </c>
      <c r="G47" s="128">
        <v>36000</v>
      </c>
      <c r="H47" s="129">
        <v>12</v>
      </c>
      <c r="I47" s="122">
        <f t="shared" si="2"/>
        <v>108000</v>
      </c>
    </row>
    <row r="48" spans="1:10" x14ac:dyDescent="0.3">
      <c r="A48" s="142"/>
      <c r="B48" s="143" t="s">
        <v>229</v>
      </c>
      <c r="C48" s="143" t="s">
        <v>230</v>
      </c>
      <c r="D48" s="143" t="s">
        <v>203</v>
      </c>
      <c r="E48" s="142"/>
      <c r="F48" s="126">
        <v>2</v>
      </c>
      <c r="G48" s="128">
        <v>30000</v>
      </c>
      <c r="H48" s="129">
        <v>12</v>
      </c>
      <c r="I48" s="122">
        <f t="shared" si="2"/>
        <v>60000</v>
      </c>
      <c r="J48" s="131"/>
    </row>
    <row r="49" spans="1:10" x14ac:dyDescent="0.3">
      <c r="A49" s="142"/>
      <c r="B49" s="143"/>
      <c r="C49" s="143"/>
      <c r="D49" s="143"/>
      <c r="E49" s="142"/>
      <c r="F49" s="126"/>
      <c r="G49" s="128"/>
      <c r="H49" s="129"/>
      <c r="I49" s="122"/>
    </row>
    <row r="50" spans="1:10" s="137" customFormat="1" x14ac:dyDescent="0.3">
      <c r="A50" s="134"/>
      <c r="B50" s="134" t="s">
        <v>231</v>
      </c>
      <c r="C50" s="134"/>
      <c r="D50" s="134"/>
      <c r="E50" s="134"/>
      <c r="F50" s="134"/>
      <c r="G50" s="134"/>
      <c r="H50" s="135"/>
      <c r="I50" s="136">
        <f>SUM(I51:I55)</f>
        <v>420500</v>
      </c>
    </row>
    <row r="51" spans="1:10" x14ac:dyDescent="0.3">
      <c r="A51" s="142"/>
      <c r="B51" s="143" t="s">
        <v>232</v>
      </c>
      <c r="C51" s="143"/>
      <c r="D51" s="143" t="s">
        <v>233</v>
      </c>
      <c r="E51" s="142"/>
      <c r="F51" s="125"/>
      <c r="G51" s="128">
        <v>50000</v>
      </c>
      <c r="H51" s="144">
        <v>1</v>
      </c>
      <c r="I51" s="145">
        <f>G51*H51</f>
        <v>50000</v>
      </c>
    </row>
    <row r="52" spans="1:10" x14ac:dyDescent="0.3">
      <c r="A52" s="142"/>
      <c r="B52" s="143" t="s">
        <v>234</v>
      </c>
      <c r="C52" s="143"/>
      <c r="D52" s="143" t="s">
        <v>233</v>
      </c>
      <c r="E52" s="142"/>
      <c r="F52" s="125"/>
      <c r="G52" s="128">
        <v>40000</v>
      </c>
      <c r="H52" s="144">
        <v>1</v>
      </c>
      <c r="I52" s="145">
        <f>G52*H52</f>
        <v>40000</v>
      </c>
    </row>
    <row r="53" spans="1:10" x14ac:dyDescent="0.3">
      <c r="A53" s="142"/>
      <c r="B53" s="143" t="s">
        <v>235</v>
      </c>
      <c r="C53" s="143"/>
      <c r="D53" s="143" t="s">
        <v>236</v>
      </c>
      <c r="E53" s="142"/>
      <c r="F53" s="125"/>
      <c r="G53" s="128">
        <v>80000</v>
      </c>
      <c r="H53" s="144">
        <v>1</v>
      </c>
      <c r="I53" s="145">
        <f>G53*H53</f>
        <v>80000</v>
      </c>
    </row>
    <row r="54" spans="1:10" x14ac:dyDescent="0.3">
      <c r="A54" s="142"/>
      <c r="B54" s="143" t="s">
        <v>235</v>
      </c>
      <c r="C54" s="143"/>
      <c r="D54" s="143" t="s">
        <v>237</v>
      </c>
      <c r="E54" s="142"/>
      <c r="F54" s="125"/>
      <c r="G54" s="128">
        <v>58500</v>
      </c>
      <c r="H54" s="144">
        <v>3</v>
      </c>
      <c r="I54" s="145">
        <f>+G54*H54</f>
        <v>175500</v>
      </c>
    </row>
    <row r="55" spans="1:10" x14ac:dyDescent="0.3">
      <c r="A55" s="142"/>
      <c r="B55" s="143" t="s">
        <v>238</v>
      </c>
      <c r="C55" s="143"/>
      <c r="D55" s="143" t="s">
        <v>237</v>
      </c>
      <c r="E55" s="142"/>
      <c r="F55" s="125"/>
      <c r="G55" s="128">
        <v>25000</v>
      </c>
      <c r="H55" s="144">
        <v>3</v>
      </c>
      <c r="I55" s="145">
        <f>+G55*H55</f>
        <v>75000</v>
      </c>
      <c r="J55" s="131"/>
    </row>
    <row r="56" spans="1:10" s="137" customFormat="1" x14ac:dyDescent="0.3">
      <c r="A56" s="134"/>
      <c r="B56" s="134" t="s">
        <v>239</v>
      </c>
      <c r="C56" s="134"/>
      <c r="D56" s="134"/>
      <c r="E56" s="134"/>
      <c r="F56" s="134"/>
      <c r="G56" s="134"/>
      <c r="H56" s="135"/>
      <c r="I56" s="136">
        <f>SUM(I57:I59)</f>
        <v>472000</v>
      </c>
    </row>
    <row r="57" spans="1:10" x14ac:dyDescent="0.3">
      <c r="A57" s="142"/>
      <c r="B57" s="143" t="s">
        <v>232</v>
      </c>
      <c r="C57" s="143"/>
      <c r="D57" s="143" t="s">
        <v>233</v>
      </c>
      <c r="E57" s="142"/>
      <c r="F57" s="125"/>
      <c r="G57" s="128">
        <v>382000</v>
      </c>
      <c r="H57" s="144">
        <v>1</v>
      </c>
      <c r="I57" s="145">
        <f>G57*H57</f>
        <v>382000</v>
      </c>
    </row>
    <row r="58" spans="1:10" x14ac:dyDescent="0.3">
      <c r="A58" s="142"/>
      <c r="B58" s="143" t="s">
        <v>234</v>
      </c>
      <c r="C58" s="143"/>
      <c r="D58" s="143" t="s">
        <v>203</v>
      </c>
      <c r="E58" s="142"/>
      <c r="F58" s="125"/>
      <c r="G58" s="128">
        <v>90000</v>
      </c>
      <c r="H58" s="144">
        <v>1</v>
      </c>
      <c r="I58" s="145">
        <f>+G58*H58</f>
        <v>90000</v>
      </c>
      <c r="J58" s="131"/>
    </row>
    <row r="59" spans="1:10" x14ac:dyDescent="0.3">
      <c r="A59" s="142"/>
      <c r="B59" s="143" t="s">
        <v>235</v>
      </c>
      <c r="C59" s="143"/>
      <c r="D59" s="143"/>
      <c r="E59" s="142"/>
      <c r="F59" s="125"/>
      <c r="G59" s="125"/>
      <c r="H59" s="144"/>
      <c r="I59" s="145"/>
    </row>
    <row r="60" spans="1:10" s="137" customFormat="1" x14ac:dyDescent="0.3">
      <c r="A60" s="134"/>
      <c r="B60" s="134" t="s">
        <v>240</v>
      </c>
      <c r="C60" s="134"/>
      <c r="D60" s="134"/>
      <c r="E60" s="134"/>
      <c r="F60" s="134"/>
      <c r="G60" s="134"/>
      <c r="H60" s="135"/>
      <c r="I60" s="136">
        <f>SUM(I61:I67)</f>
        <v>310000</v>
      </c>
    </row>
    <row r="61" spans="1:10" x14ac:dyDescent="0.3">
      <c r="A61" s="125"/>
      <c r="B61" s="143" t="s">
        <v>241</v>
      </c>
      <c r="C61" s="143"/>
      <c r="D61" s="143" t="s">
        <v>233</v>
      </c>
      <c r="E61" s="125"/>
      <c r="F61" s="125"/>
      <c r="G61" s="128">
        <v>25000</v>
      </c>
      <c r="H61" s="144">
        <v>1</v>
      </c>
      <c r="I61" s="145">
        <f>G61*H61</f>
        <v>25000</v>
      </c>
    </row>
    <row r="62" spans="1:10" x14ac:dyDescent="0.3">
      <c r="A62" s="125"/>
      <c r="B62" s="143" t="s">
        <v>242</v>
      </c>
      <c r="C62" s="143"/>
      <c r="D62" s="143" t="s">
        <v>233</v>
      </c>
      <c r="E62" s="125"/>
      <c r="F62" s="125"/>
      <c r="G62" s="128">
        <v>20000</v>
      </c>
      <c r="H62" s="144">
        <v>1</v>
      </c>
      <c r="I62" s="145">
        <f t="shared" ref="I62:I70" si="3">G62*H62</f>
        <v>20000</v>
      </c>
    </row>
    <row r="63" spans="1:10" x14ac:dyDescent="0.3">
      <c r="A63" s="125"/>
      <c r="B63" s="143" t="s">
        <v>243</v>
      </c>
      <c r="C63" s="143"/>
      <c r="D63" s="143" t="s">
        <v>233</v>
      </c>
      <c r="E63" s="125"/>
      <c r="F63" s="125"/>
      <c r="G63" s="128">
        <v>20000</v>
      </c>
      <c r="H63" s="144">
        <v>1</v>
      </c>
      <c r="I63" s="145">
        <f t="shared" si="3"/>
        <v>20000</v>
      </c>
    </row>
    <row r="64" spans="1:10" x14ac:dyDescent="0.3">
      <c r="A64" s="125"/>
      <c r="B64" s="143" t="s">
        <v>244</v>
      </c>
      <c r="C64" s="143"/>
      <c r="D64" s="143" t="s">
        <v>233</v>
      </c>
      <c r="E64" s="125"/>
      <c r="F64" s="125"/>
      <c r="G64" s="128">
        <v>20000</v>
      </c>
      <c r="H64" s="144">
        <v>1</v>
      </c>
      <c r="I64" s="145">
        <f t="shared" si="3"/>
        <v>20000</v>
      </c>
    </row>
    <row r="65" spans="1:10" x14ac:dyDescent="0.3">
      <c r="A65" s="125"/>
      <c r="B65" s="143" t="s">
        <v>245</v>
      </c>
      <c r="C65" s="143"/>
      <c r="D65" s="143" t="s">
        <v>246</v>
      </c>
      <c r="E65" s="125"/>
      <c r="F65" s="125"/>
      <c r="G65" s="128">
        <v>180000</v>
      </c>
      <c r="H65" s="144">
        <v>1</v>
      </c>
      <c r="I65" s="145">
        <f t="shared" si="3"/>
        <v>180000</v>
      </c>
    </row>
    <row r="66" spans="1:10" x14ac:dyDescent="0.3">
      <c r="A66" s="125"/>
      <c r="B66" s="143" t="s">
        <v>247</v>
      </c>
      <c r="C66" s="143"/>
      <c r="D66" s="143" t="s">
        <v>248</v>
      </c>
      <c r="E66" s="125"/>
      <c r="F66" s="125"/>
      <c r="G66" s="128">
        <v>20000</v>
      </c>
      <c r="H66" s="144">
        <v>1</v>
      </c>
      <c r="I66" s="145">
        <f t="shared" si="3"/>
        <v>20000</v>
      </c>
    </row>
    <row r="67" spans="1:10" x14ac:dyDescent="0.3">
      <c r="A67" s="125"/>
      <c r="B67" s="143" t="s">
        <v>249</v>
      </c>
      <c r="C67" s="143"/>
      <c r="D67" s="143" t="s">
        <v>227</v>
      </c>
      <c r="E67" s="125"/>
      <c r="F67" s="125"/>
      <c r="G67" s="128">
        <v>25000</v>
      </c>
      <c r="H67" s="144">
        <v>1</v>
      </c>
      <c r="I67" s="145">
        <f t="shared" si="3"/>
        <v>25000</v>
      </c>
      <c r="J67" s="131"/>
    </row>
    <row r="68" spans="1:10" s="137" customFormat="1" x14ac:dyDescent="0.3">
      <c r="A68" s="134"/>
      <c r="B68" s="134" t="s">
        <v>250</v>
      </c>
      <c r="C68" s="134"/>
      <c r="D68" s="134"/>
      <c r="E68" s="134"/>
      <c r="F68" s="134"/>
      <c r="G68" s="134"/>
      <c r="H68" s="135"/>
      <c r="I68" s="136">
        <f>SUM(I69:I71)</f>
        <v>505000</v>
      </c>
    </row>
    <row r="69" spans="1:10" x14ac:dyDescent="0.3">
      <c r="A69" s="125"/>
      <c r="B69" s="143" t="s">
        <v>251</v>
      </c>
      <c r="C69" s="143"/>
      <c r="D69" s="143" t="s">
        <v>233</v>
      </c>
      <c r="E69" s="125"/>
      <c r="F69" s="125"/>
      <c r="G69" s="128">
        <v>50000</v>
      </c>
      <c r="H69" s="144">
        <v>1</v>
      </c>
      <c r="I69" s="145">
        <f t="shared" si="3"/>
        <v>50000</v>
      </c>
    </row>
    <row r="70" spans="1:10" x14ac:dyDescent="0.3">
      <c r="A70" s="125"/>
      <c r="B70" s="143" t="s">
        <v>252</v>
      </c>
      <c r="C70" s="143"/>
      <c r="D70" s="143" t="s">
        <v>203</v>
      </c>
      <c r="E70" s="125"/>
      <c r="F70" s="125"/>
      <c r="G70" s="128">
        <v>455000</v>
      </c>
      <c r="H70" s="144">
        <v>1</v>
      </c>
      <c r="I70" s="145">
        <f t="shared" si="3"/>
        <v>455000</v>
      </c>
      <c r="J70" s="131"/>
    </row>
    <row r="71" spans="1:10" x14ac:dyDescent="0.3">
      <c r="A71" s="125"/>
      <c r="B71" s="143" t="s">
        <v>253</v>
      </c>
      <c r="C71" s="143"/>
      <c r="D71" s="143"/>
      <c r="E71" s="125"/>
      <c r="F71" s="125"/>
      <c r="G71" s="125"/>
      <c r="H71" s="144"/>
      <c r="I71" s="145"/>
    </row>
    <row r="72" spans="1:10" s="137" customFormat="1" x14ac:dyDescent="0.3">
      <c r="A72" s="134"/>
      <c r="B72" s="134" t="s">
        <v>254</v>
      </c>
      <c r="C72" s="134"/>
      <c r="D72" s="134"/>
      <c r="E72" s="134"/>
      <c r="F72" s="134"/>
      <c r="G72" s="134"/>
      <c r="H72" s="135"/>
      <c r="I72" s="136">
        <f>SUM(I73:I75)</f>
        <v>160000</v>
      </c>
    </row>
    <row r="73" spans="1:10" x14ac:dyDescent="0.3">
      <c r="A73" s="142"/>
      <c r="B73" s="143" t="s">
        <v>232</v>
      </c>
      <c r="C73" s="143"/>
      <c r="D73" s="143" t="s">
        <v>233</v>
      </c>
      <c r="E73" s="142"/>
      <c r="F73" s="125"/>
      <c r="G73" s="128">
        <v>60000</v>
      </c>
      <c r="H73" s="144">
        <v>1</v>
      </c>
      <c r="I73" s="145">
        <f t="shared" ref="I73:I74" si="4">G73*H73</f>
        <v>60000</v>
      </c>
    </row>
    <row r="74" spans="1:10" x14ac:dyDescent="0.3">
      <c r="A74" s="142"/>
      <c r="B74" s="143" t="s">
        <v>234</v>
      </c>
      <c r="C74" s="143"/>
      <c r="D74" s="143" t="s">
        <v>255</v>
      </c>
      <c r="E74" s="142"/>
      <c r="F74" s="125"/>
      <c r="G74" s="128">
        <v>100000</v>
      </c>
      <c r="H74" s="144">
        <v>1</v>
      </c>
      <c r="I74" s="145">
        <f t="shared" si="4"/>
        <v>100000</v>
      </c>
      <c r="J74" s="131"/>
    </row>
    <row r="75" spans="1:10" x14ac:dyDescent="0.3">
      <c r="A75" s="142"/>
      <c r="B75" s="143" t="s">
        <v>235</v>
      </c>
      <c r="C75" s="143"/>
      <c r="D75" s="143"/>
      <c r="E75" s="142"/>
      <c r="F75" s="125"/>
      <c r="G75" s="125"/>
      <c r="H75" s="144"/>
      <c r="I75" s="145"/>
    </row>
    <row r="76" spans="1:10" x14ac:dyDescent="0.3">
      <c r="A76" s="146"/>
      <c r="B76" s="146" t="s">
        <v>256</v>
      </c>
      <c r="C76" s="146"/>
      <c r="D76" s="146"/>
      <c r="E76" s="146"/>
      <c r="F76" s="147"/>
      <c r="G76" s="146"/>
      <c r="H76" s="148"/>
      <c r="I76" s="149">
        <f>+I77+I80+I81+I82+I88</f>
        <v>100816.86324845505</v>
      </c>
    </row>
    <row r="77" spans="1:10" x14ac:dyDescent="0.3">
      <c r="A77" s="150"/>
      <c r="B77" s="150" t="s">
        <v>257</v>
      </c>
      <c r="C77" s="150"/>
      <c r="D77" s="150"/>
      <c r="E77" s="150"/>
      <c r="F77" s="150"/>
      <c r="G77" s="150"/>
      <c r="H77" s="151"/>
      <c r="I77" s="152">
        <f>SUM(I78:I79)</f>
        <v>15917.436552208273</v>
      </c>
      <c r="J77" s="131"/>
    </row>
    <row r="78" spans="1:10" x14ac:dyDescent="0.3">
      <c r="A78" s="153"/>
      <c r="B78" s="154" t="s">
        <v>258</v>
      </c>
      <c r="C78" s="154"/>
      <c r="D78" s="154"/>
      <c r="E78" s="153"/>
      <c r="F78" s="155">
        <f>'[1]2026 CB rates'!G31</f>
        <v>444.84615384615387</v>
      </c>
      <c r="G78" s="150"/>
      <c r="H78" s="156">
        <v>0</v>
      </c>
      <c r="I78" s="157">
        <f>F78*H78</f>
        <v>0</v>
      </c>
    </row>
    <row r="79" spans="1:10" x14ac:dyDescent="0.3">
      <c r="A79" s="153"/>
      <c r="B79" s="154" t="s">
        <v>259</v>
      </c>
      <c r="C79" s="154"/>
      <c r="D79" s="154"/>
      <c r="E79" s="153"/>
      <c r="F79" s="155">
        <f>'[1]2026 CB rates'!G32</f>
        <v>349.06659105719899</v>
      </c>
      <c r="G79" s="158">
        <v>3.8</v>
      </c>
      <c r="H79" s="156">
        <v>12</v>
      </c>
      <c r="I79" s="157">
        <f>+F79*G79*H79</f>
        <v>15917.436552208273</v>
      </c>
    </row>
    <row r="80" spans="1:10" x14ac:dyDescent="0.3">
      <c r="A80" s="150"/>
      <c r="B80" s="150" t="s">
        <v>260</v>
      </c>
      <c r="C80" s="150"/>
      <c r="D80" s="150"/>
      <c r="E80" s="150"/>
      <c r="F80" s="155">
        <f>'[1]2026 CB rates'!G29</f>
        <v>858.08030790486839</v>
      </c>
      <c r="G80" s="150">
        <v>1</v>
      </c>
      <c r="H80" s="156">
        <v>12</v>
      </c>
      <c r="I80" s="159">
        <f>+F80*G80*H80</f>
        <v>10296.963694858421</v>
      </c>
      <c r="J80" s="131"/>
    </row>
    <row r="81" spans="1:10" x14ac:dyDescent="0.3">
      <c r="A81" s="150"/>
      <c r="B81" s="150" t="s">
        <v>261</v>
      </c>
      <c r="C81" s="150"/>
      <c r="D81" s="150"/>
      <c r="E81" s="150"/>
      <c r="F81" s="155">
        <f>'[1]2026 CB rates'!G6</f>
        <v>196.33683587029427</v>
      </c>
      <c r="G81" s="158">
        <v>1.3</v>
      </c>
      <c r="H81" s="156">
        <v>12</v>
      </c>
      <c r="I81" s="159">
        <f t="shared" ref="I81:I89" si="5">+F81*G81*H81</f>
        <v>3062.8546395765907</v>
      </c>
      <c r="J81" s="131"/>
    </row>
    <row r="82" spans="1:10" s="162" customFormat="1" x14ac:dyDescent="0.3">
      <c r="A82" s="150"/>
      <c r="B82" s="150" t="s">
        <v>262</v>
      </c>
      <c r="C82" s="150"/>
      <c r="D82" s="150"/>
      <c r="E82" s="150"/>
      <c r="F82" s="150"/>
      <c r="G82" s="160"/>
      <c r="H82" s="156"/>
      <c r="I82" s="159">
        <f>SUM(I83:I87)</f>
        <v>32755.608361811752</v>
      </c>
      <c r="J82" s="161"/>
    </row>
    <row r="83" spans="1:10" s="162" customFormat="1" x14ac:dyDescent="0.3">
      <c r="A83" s="150"/>
      <c r="B83" s="163" t="s">
        <v>225</v>
      </c>
      <c r="C83" s="163"/>
      <c r="D83" s="163"/>
      <c r="E83" s="150"/>
      <c r="F83" s="155">
        <f>'[1]2026 CB rates'!G11</f>
        <v>461.39596751703635</v>
      </c>
      <c r="G83" s="160"/>
      <c r="H83" s="156">
        <v>0</v>
      </c>
      <c r="I83" s="157">
        <f t="shared" si="5"/>
        <v>0</v>
      </c>
    </row>
    <row r="84" spans="1:10" s="162" customFormat="1" x14ac:dyDescent="0.3">
      <c r="A84" s="150"/>
      <c r="B84" s="163" t="s">
        <v>233</v>
      </c>
      <c r="C84" s="163"/>
      <c r="D84" s="163"/>
      <c r="E84" s="150"/>
      <c r="F84" s="155">
        <f>'[1]2026 CB rates'!G13</f>
        <v>788.40033334430973</v>
      </c>
      <c r="G84" s="158">
        <v>3.05</v>
      </c>
      <c r="H84" s="156">
        <v>12</v>
      </c>
      <c r="I84" s="157">
        <f t="shared" si="5"/>
        <v>28855.452200401734</v>
      </c>
    </row>
    <row r="85" spans="1:10" s="162" customFormat="1" x14ac:dyDescent="0.3">
      <c r="A85" s="150"/>
      <c r="B85" s="163" t="s">
        <v>203</v>
      </c>
      <c r="C85" s="163"/>
      <c r="D85" s="163"/>
      <c r="E85" s="150"/>
      <c r="F85" s="155">
        <f>'[1]2026 CB rates'!G15</f>
        <v>512.42602690166984</v>
      </c>
      <c r="G85" s="158">
        <v>0.5</v>
      </c>
      <c r="H85" s="156">
        <v>12</v>
      </c>
      <c r="I85" s="157">
        <f t="shared" si="5"/>
        <v>3074.5561614100188</v>
      </c>
    </row>
    <row r="86" spans="1:10" s="162" customFormat="1" x14ac:dyDescent="0.3">
      <c r="A86" s="150"/>
      <c r="B86" s="163" t="s">
        <v>263</v>
      </c>
      <c r="C86" s="163"/>
      <c r="D86" s="163"/>
      <c r="E86" s="150"/>
      <c r="F86" s="155">
        <v>344</v>
      </c>
      <c r="G86" s="158">
        <v>0.2</v>
      </c>
      <c r="H86" s="156">
        <v>12</v>
      </c>
      <c r="I86" s="157">
        <f t="shared" si="5"/>
        <v>825.59999999999991</v>
      </c>
    </row>
    <row r="87" spans="1:10" s="162" customFormat="1" x14ac:dyDescent="0.3">
      <c r="A87" s="150"/>
      <c r="B87" s="163" t="s">
        <v>264</v>
      </c>
      <c r="C87" s="163"/>
      <c r="D87" s="163"/>
      <c r="E87" s="150"/>
      <c r="F87" s="155">
        <v>0</v>
      </c>
      <c r="G87" s="160"/>
      <c r="H87" s="156">
        <v>0</v>
      </c>
      <c r="I87" s="157">
        <f t="shared" si="5"/>
        <v>0</v>
      </c>
    </row>
    <row r="88" spans="1:10" s="162" customFormat="1" x14ac:dyDescent="0.3">
      <c r="A88" s="150"/>
      <c r="B88" s="150" t="s">
        <v>265</v>
      </c>
      <c r="C88" s="150"/>
      <c r="D88" s="150"/>
      <c r="E88" s="150"/>
      <c r="F88" s="150"/>
      <c r="G88" s="160"/>
      <c r="H88" s="151"/>
      <c r="I88" s="157">
        <f>+I89</f>
        <v>38784</v>
      </c>
    </row>
    <row r="89" spans="1:10" s="162" customFormat="1" x14ac:dyDescent="0.3">
      <c r="A89" s="150"/>
      <c r="B89" s="150" t="s">
        <v>266</v>
      </c>
      <c r="C89" s="150"/>
      <c r="D89" s="150"/>
      <c r="E89" s="150"/>
      <c r="F89" s="155">
        <v>1616</v>
      </c>
      <c r="G89" s="158">
        <v>2</v>
      </c>
      <c r="H89" s="151">
        <v>12</v>
      </c>
      <c r="I89" s="157">
        <f t="shared" si="5"/>
        <v>38784</v>
      </c>
      <c r="J89" s="161"/>
    </row>
    <row r="90" spans="1:10" s="162" customFormat="1" x14ac:dyDescent="0.3">
      <c r="A90" s="150"/>
      <c r="B90" s="150"/>
      <c r="C90" s="150"/>
      <c r="D90" s="150"/>
      <c r="E90" s="150"/>
      <c r="F90" s="150"/>
      <c r="G90" s="160"/>
      <c r="H90" s="151"/>
      <c r="I90" s="152"/>
    </row>
    <row r="91" spans="1:10" s="165" customFormat="1" x14ac:dyDescent="0.3">
      <c r="A91" s="134"/>
      <c r="B91" s="134" t="s">
        <v>267</v>
      </c>
      <c r="C91" s="134"/>
      <c r="D91" s="134"/>
      <c r="E91" s="134"/>
      <c r="F91" s="134"/>
      <c r="G91" s="134"/>
      <c r="H91" s="135"/>
      <c r="I91" s="136">
        <f>I43+I44+I50+I56+I60+I72+I76+I68</f>
        <v>2554222.5132484548</v>
      </c>
      <c r="J91" s="164"/>
    </row>
    <row r="92" spans="1:10" x14ac:dyDescent="0.3">
      <c r="A92" s="142"/>
      <c r="B92" s="143" t="s">
        <v>268</v>
      </c>
      <c r="C92" s="143"/>
      <c r="D92" s="143"/>
      <c r="E92" s="142"/>
      <c r="F92" s="125"/>
      <c r="G92" s="125"/>
      <c r="H92" s="126">
        <v>0.15</v>
      </c>
      <c r="I92" s="145">
        <f>SUM(I91-I60)*0.15</f>
        <v>336633.37698726822</v>
      </c>
    </row>
    <row r="93" spans="1:10" x14ac:dyDescent="0.3">
      <c r="A93" s="142"/>
      <c r="B93" s="143" t="s">
        <v>269</v>
      </c>
      <c r="C93" s="143"/>
      <c r="D93" s="143"/>
      <c r="E93" s="142"/>
      <c r="F93" s="125"/>
      <c r="G93" s="125"/>
      <c r="H93" s="126">
        <v>0.05</v>
      </c>
      <c r="I93" s="145">
        <f>+I60*0.05</f>
        <v>15500</v>
      </c>
    </row>
    <row r="94" spans="1:10" s="137" customFormat="1" x14ac:dyDescent="0.3">
      <c r="A94" s="134"/>
      <c r="B94" s="134" t="s">
        <v>270</v>
      </c>
      <c r="C94" s="134"/>
      <c r="D94" s="134"/>
      <c r="E94" s="134"/>
      <c r="F94" s="134"/>
      <c r="G94" s="134"/>
      <c r="H94" s="135"/>
      <c r="I94" s="136">
        <f>SUM(I92:I93)</f>
        <v>352133.37698726822</v>
      </c>
    </row>
    <row r="95" spans="1:10" x14ac:dyDescent="0.3">
      <c r="A95" s="117"/>
      <c r="B95" s="117" t="s">
        <v>271</v>
      </c>
      <c r="C95" s="117"/>
      <c r="D95" s="117"/>
      <c r="E95" s="117"/>
      <c r="F95" s="117"/>
      <c r="G95" s="117"/>
      <c r="H95" s="166"/>
      <c r="I95" s="167">
        <f>+I94+I91</f>
        <v>2906355.890235723</v>
      </c>
    </row>
    <row r="96" spans="1:10" s="137" customFormat="1" x14ac:dyDescent="0.3">
      <c r="A96" s="134"/>
      <c r="B96" s="134" t="s">
        <v>272</v>
      </c>
      <c r="C96" s="134"/>
      <c r="D96" s="134"/>
      <c r="E96" s="134"/>
      <c r="F96" s="134"/>
      <c r="G96" s="134"/>
      <c r="H96" s="135"/>
      <c r="I96" s="136">
        <f>+I95*0.02</f>
        <v>58127.117804714464</v>
      </c>
    </row>
    <row r="97" spans="1:9" s="141" customFormat="1" x14ac:dyDescent="0.3">
      <c r="A97" s="138"/>
      <c r="B97" s="138" t="s">
        <v>192</v>
      </c>
      <c r="C97" s="138"/>
      <c r="D97" s="138"/>
      <c r="E97" s="138"/>
      <c r="F97" s="138"/>
      <c r="G97" s="138"/>
      <c r="H97" s="139"/>
      <c r="I97" s="140">
        <f>+I96+I95</f>
        <v>2964483.0080404375</v>
      </c>
    </row>
    <row r="98" spans="1:9" x14ac:dyDescent="0.3">
      <c r="B98" s="168" t="e">
        <f>I3+I4+#REF!+I10+#REF!+I11+I12+I45+I46+G51+G52+G57+G61+G62+G63+G64+G66+G67+G69+G73</f>
        <v>#REF!</v>
      </c>
      <c r="C98" s="169" t="s">
        <v>273</v>
      </c>
      <c r="D98" s="141"/>
      <c r="I98" s="131"/>
    </row>
    <row r="99" spans="1:9" s="171" customFormat="1" x14ac:dyDescent="0.3">
      <c r="H99" s="172"/>
    </row>
    <row r="100" spans="1:9" s="171" customFormat="1" x14ac:dyDescent="0.3">
      <c r="H100" s="172"/>
    </row>
    <row r="101" spans="1:9" s="171" customFormat="1" x14ac:dyDescent="0.3">
      <c r="H101" s="172"/>
    </row>
    <row r="102" spans="1:9" s="171" customFormat="1" x14ac:dyDescent="0.3">
      <c r="H102" s="172"/>
    </row>
    <row r="103" spans="1:9" s="171" customFormat="1" x14ac:dyDescent="0.3">
      <c r="H103" s="172">
        <f>1159740-1159691</f>
        <v>49</v>
      </c>
    </row>
    <row r="104" spans="1:9" s="171" customFormat="1" x14ac:dyDescent="0.3">
      <c r="H104" s="172"/>
    </row>
    <row r="105" spans="1:9" s="171" customFormat="1" x14ac:dyDescent="0.3">
      <c r="H105" s="172"/>
    </row>
    <row r="106" spans="1:9" s="171" customFormat="1" x14ac:dyDescent="0.3">
      <c r="H106" s="172"/>
    </row>
  </sheetData>
  <mergeCells count="1">
    <mergeCell ref="F1:H1"/>
  </mergeCells>
  <conditionalFormatting sqref="A3:A42 E3:E42">
    <cfRule type="cellIs" dxfId="0" priority="1" operator="lessThan">
      <formula>0.5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Level</vt:lpstr>
      <vt:lpstr>Work Package Level</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MPONELA, Powell (CIMMYT-Nepal)</dc:creator>
  <cp:keywords/>
  <dc:description/>
  <cp:lastModifiedBy>MPONELA, Powell (CIMMYT-Nepal)</cp:lastModifiedBy>
  <cp:revision/>
  <dcterms:created xsi:type="dcterms:W3CDTF">2026-01-26T12:42:50Z</dcterms:created>
  <dcterms:modified xsi:type="dcterms:W3CDTF">2026-01-29T15:50:04Z</dcterms:modified>
  <cp:category/>
  <cp:contentStatus/>
</cp:coreProperties>
</file>