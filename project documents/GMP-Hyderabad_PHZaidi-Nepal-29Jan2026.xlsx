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mmyt-my.sharepoint.com/personal/r_labuguen_cimmyt_org/Documents/Documents/CIMMYT/New folder/GMP/Aurora/"/>
    </mc:Choice>
  </mc:AlternateContent>
  <xr:revisionPtr revIDLastSave="0" documentId="14_{13177117-0B8C-4948-860A-FE58FCB3FA2B}" xr6:coauthVersionLast="47" xr6:coauthVersionMax="47" xr10:uidLastSave="{00000000-0000-0000-0000-000000000000}"/>
  <bookViews>
    <workbookView xWindow="-103" yWindow="-103" windowWidth="29692" windowHeight="11829" xr2:uid="{7AD5B95D-6EA2-479D-B133-03EAD9D6C85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 l="1"/>
  <c r="I96" i="1"/>
  <c r="I95" i="1"/>
  <c r="I12" i="1"/>
  <c r="I70" i="1"/>
  <c r="I65" i="1"/>
  <c r="I53" i="1"/>
  <c r="I54" i="1"/>
  <c r="I55" i="1"/>
  <c r="I74" i="1"/>
  <c r="I58" i="1"/>
  <c r="I89" i="1"/>
  <c r="I88" i="1" s="1"/>
  <c r="I87" i="1"/>
  <c r="I86" i="1"/>
  <c r="I48" i="1"/>
  <c r="I47" i="1"/>
  <c r="I8" i="1"/>
  <c r="I7" i="1"/>
  <c r="I6" i="1"/>
  <c r="I9" i="1"/>
  <c r="I5" i="1"/>
  <c r="H103" i="1" l="1"/>
  <c r="F85" i="1"/>
  <c r="I85" i="1" s="1"/>
  <c r="F84" i="1"/>
  <c r="I84" i="1" s="1"/>
  <c r="F83" i="1"/>
  <c r="I83" i="1" s="1"/>
  <c r="F81" i="1"/>
  <c r="I81" i="1" s="1"/>
  <c r="F80" i="1"/>
  <c r="I80" i="1" s="1"/>
  <c r="F79" i="1"/>
  <c r="I79" i="1" s="1"/>
  <c r="F78" i="1"/>
  <c r="I73" i="1"/>
  <c r="I72" i="1" s="1"/>
  <c r="I69" i="1"/>
  <c r="I68" i="1" s="1"/>
  <c r="I67" i="1"/>
  <c r="I66" i="1"/>
  <c r="I64" i="1"/>
  <c r="I63" i="1"/>
  <c r="I62" i="1"/>
  <c r="I61" i="1"/>
  <c r="I57" i="1"/>
  <c r="I56" i="1" s="1"/>
  <c r="I52" i="1"/>
  <c r="I51" i="1"/>
  <c r="I46" i="1"/>
  <c r="I45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1" i="1"/>
  <c r="I10" i="1"/>
  <c r="I4" i="1"/>
  <c r="I3" i="1"/>
  <c r="I82" i="1" l="1"/>
  <c r="I44" i="1"/>
  <c r="I43" i="1"/>
  <c r="I50" i="1"/>
  <c r="I60" i="1"/>
  <c r="I93" i="1" s="1"/>
  <c r="I78" i="1"/>
  <c r="B98" i="1"/>
  <c r="I77" i="1" l="1"/>
  <c r="I76" i="1" s="1"/>
  <c r="I91" i="1" l="1"/>
  <c r="I92" i="1" s="1"/>
  <c r="I94" i="1" s="1"/>
</calcChain>
</file>

<file path=xl/sharedStrings.xml><?xml version="1.0" encoding="utf-8"?>
<sst xmlns="http://schemas.openxmlformats.org/spreadsheetml/2006/main" count="127" uniqueCount="91">
  <si>
    <t>Year 1</t>
  </si>
  <si>
    <t>Type</t>
  </si>
  <si>
    <t>Name</t>
  </si>
  <si>
    <t>Position</t>
  </si>
  <si>
    <t>Location</t>
  </si>
  <si>
    <t>Level</t>
  </si>
  <si>
    <t>FTE</t>
  </si>
  <si>
    <t>SALARY</t>
  </si>
  <si>
    <t>MOS</t>
  </si>
  <si>
    <t>TOTAL</t>
  </si>
  <si>
    <t>IRS10</t>
  </si>
  <si>
    <t>New hire</t>
  </si>
  <si>
    <t>Hyderabad</t>
  </si>
  <si>
    <t>IRS13</t>
  </si>
  <si>
    <t>LRS01</t>
  </si>
  <si>
    <t>Field Technician</t>
  </si>
  <si>
    <t>LRS06</t>
  </si>
  <si>
    <t>Sr. Res. Technician</t>
  </si>
  <si>
    <t>LRS09</t>
  </si>
  <si>
    <t>Project Scientist</t>
  </si>
  <si>
    <t>Personnel</t>
  </si>
  <si>
    <t>Consultants</t>
  </si>
  <si>
    <t>Consultant 1</t>
  </si>
  <si>
    <t>Senior Level</t>
  </si>
  <si>
    <t>Bangladesh</t>
  </si>
  <si>
    <t>Consultant 2</t>
  </si>
  <si>
    <t>Philippines</t>
  </si>
  <si>
    <t>Consultant 3</t>
  </si>
  <si>
    <t>Training and Workshops</t>
  </si>
  <si>
    <t>Detail 1</t>
  </si>
  <si>
    <t>India</t>
  </si>
  <si>
    <t>Detail 3</t>
  </si>
  <si>
    <t>Other Supplies and Services</t>
  </si>
  <si>
    <t>Detail 2</t>
  </si>
  <si>
    <t>Partners</t>
  </si>
  <si>
    <t>Partner 1</t>
  </si>
  <si>
    <t>Partner 2</t>
  </si>
  <si>
    <t>Partner 3</t>
  </si>
  <si>
    <t>Partner 4</t>
  </si>
  <si>
    <t>Bangaldesh</t>
  </si>
  <si>
    <t>Partner 6</t>
  </si>
  <si>
    <t>Equipment</t>
  </si>
  <si>
    <t>Equipment 1</t>
  </si>
  <si>
    <t>Equipment 2</t>
  </si>
  <si>
    <t>Equipment 3</t>
  </si>
  <si>
    <t>Travel</t>
  </si>
  <si>
    <t>Chargebacks</t>
  </si>
  <si>
    <t>ICT</t>
  </si>
  <si>
    <t>Non windows</t>
  </si>
  <si>
    <t>Standard scientist</t>
  </si>
  <si>
    <t>GARS</t>
  </si>
  <si>
    <t>Knowledge Center</t>
  </si>
  <si>
    <t>Regional Office Shared Cost</t>
  </si>
  <si>
    <t>Nepal</t>
  </si>
  <si>
    <t>Other RO</t>
  </si>
  <si>
    <t>Fleet</t>
  </si>
  <si>
    <t>Total Direct Costs</t>
  </si>
  <si>
    <t>Indirect Cost</t>
  </si>
  <si>
    <t>Flow-through</t>
  </si>
  <si>
    <t>Total Indirect costs</t>
  </si>
  <si>
    <t>Sub-TOTAL</t>
  </si>
  <si>
    <t>CGIAR fee</t>
  </si>
  <si>
    <t>$1,159,740.00</t>
  </si>
  <si>
    <t>IRS11</t>
  </si>
  <si>
    <t>A. Issa</t>
  </si>
  <si>
    <t>P. Zaidi</t>
  </si>
  <si>
    <t>Seed System</t>
  </si>
  <si>
    <t>A. Saxena</t>
  </si>
  <si>
    <t>Program Director</t>
  </si>
  <si>
    <t>Kenya</t>
  </si>
  <si>
    <t>IRS12</t>
  </si>
  <si>
    <t>Maize Physiologist and Breeder - Asia</t>
  </si>
  <si>
    <t>Maize Breeder</t>
  </si>
  <si>
    <t>A. Das</t>
  </si>
  <si>
    <t>Sr. Technical Program Manager</t>
  </si>
  <si>
    <t>N. Davis</t>
  </si>
  <si>
    <t>Program Manager</t>
  </si>
  <si>
    <t>R. Labuguen</t>
  </si>
  <si>
    <t>Finance Manager</t>
  </si>
  <si>
    <t>Mexico</t>
  </si>
  <si>
    <t>Consultant 4</t>
  </si>
  <si>
    <t xml:space="preserve">International </t>
  </si>
  <si>
    <t xml:space="preserve"> Kenya</t>
  </si>
  <si>
    <t>Pick up - Nepal</t>
  </si>
  <si>
    <t>Partner 7</t>
  </si>
  <si>
    <t>Partner 8</t>
  </si>
  <si>
    <t>Nepal/Bangladesh/ Philippines</t>
  </si>
  <si>
    <t>Detail 4</t>
  </si>
  <si>
    <t>Regional Training</t>
  </si>
  <si>
    <t>DESIS-Nepal/Phillipines/Bangladesh</t>
  </si>
  <si>
    <t>Nepal/Bangladesh/Philippines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</si>
</sst>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  <numFmt numFmtId="166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 tint="0.34998626667073579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sz val="10"/>
      <color rgb="FF000000"/>
      <name val="Calibri"/>
      <family val="2"/>
    </font>
    <font>
      <b/>
      <i/>
      <sz val="11"/>
      <color theme="1" tint="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/>
    <xf numFmtId="9" fontId="1" fillId="2" borderId="2" xfId="1" applyNumberFormat="1" applyFill="1" applyBorder="1" applyAlignment="1">
      <alignment horizontal="center"/>
    </xf>
    <xf numFmtId="0" fontId="1" fillId="2" borderId="2" xfId="1" applyFill="1" applyBorder="1"/>
    <xf numFmtId="9" fontId="1" fillId="2" borderId="2" xfId="1" applyNumberFormat="1" applyFill="1" applyBorder="1"/>
    <xf numFmtId="9" fontId="0" fillId="2" borderId="2" xfId="2" applyFont="1" applyFill="1" applyBorder="1"/>
    <xf numFmtId="165" fontId="5" fillId="2" borderId="2" xfId="3" applyNumberFormat="1" applyFont="1" applyFill="1" applyBorder="1"/>
    <xf numFmtId="164" fontId="0" fillId="2" borderId="2" xfId="3" applyNumberFormat="1" applyFont="1" applyFill="1" applyBorder="1"/>
    <xf numFmtId="165" fontId="0" fillId="2" borderId="2" xfId="3" applyNumberFormat="1" applyFont="1" applyFill="1" applyBorder="1"/>
    <xf numFmtId="9" fontId="1" fillId="0" borderId="2" xfId="1" applyNumberFormat="1" applyBorder="1" applyAlignment="1">
      <alignment horizontal="center"/>
    </xf>
    <xf numFmtId="0" fontId="1" fillId="0" borderId="2" xfId="1" applyBorder="1"/>
    <xf numFmtId="9" fontId="1" fillId="0" borderId="2" xfId="1" applyNumberFormat="1" applyBorder="1"/>
    <xf numFmtId="9" fontId="0" fillId="0" borderId="2" xfId="2" applyFont="1" applyFill="1" applyBorder="1"/>
    <xf numFmtId="165" fontId="5" fillId="0" borderId="2" xfId="3" applyNumberFormat="1" applyFont="1" applyFill="1" applyBorder="1"/>
    <xf numFmtId="164" fontId="0" fillId="0" borderId="2" xfId="3" applyNumberFormat="1" applyFont="1" applyFill="1" applyBorder="1"/>
    <xf numFmtId="165" fontId="0" fillId="0" borderId="2" xfId="3" applyNumberFormat="1" applyFont="1" applyFill="1" applyBorder="1"/>
    <xf numFmtId="0" fontId="6" fillId="0" borderId="2" xfId="1" applyFont="1" applyBorder="1"/>
    <xf numFmtId="0" fontId="7" fillId="0" borderId="2" xfId="0" applyFont="1" applyBorder="1" applyAlignment="1">
      <alignment vertical="top" wrapText="1" readingOrder="1"/>
    </xf>
    <xf numFmtId="0" fontId="8" fillId="0" borderId="0" xfId="1" applyFont="1"/>
    <xf numFmtId="0" fontId="2" fillId="0" borderId="2" xfId="1" applyFont="1" applyBorder="1"/>
    <xf numFmtId="165" fontId="1" fillId="0" borderId="2" xfId="1" applyNumberFormat="1" applyBorder="1"/>
    <xf numFmtId="0" fontId="2" fillId="0" borderId="0" xfId="1" applyFont="1"/>
    <xf numFmtId="0" fontId="9" fillId="0" borderId="2" xfId="1" applyFont="1" applyBorder="1" applyAlignment="1">
      <alignment horizontal="left" indent="1"/>
    </xf>
    <xf numFmtId="164" fontId="1" fillId="0" borderId="2" xfId="1" applyNumberFormat="1" applyBorder="1"/>
    <xf numFmtId="0" fontId="10" fillId="3" borderId="2" xfId="1" applyFont="1" applyFill="1" applyBorder="1"/>
    <xf numFmtId="0" fontId="11" fillId="3" borderId="2" xfId="1" applyFont="1" applyFill="1" applyBorder="1"/>
    <xf numFmtId="164" fontId="10" fillId="3" borderId="2" xfId="1" applyNumberFormat="1" applyFont="1" applyFill="1" applyBorder="1"/>
    <xf numFmtId="165" fontId="10" fillId="3" borderId="2" xfId="3" applyNumberFormat="1" applyFont="1" applyFill="1" applyBorder="1"/>
    <xf numFmtId="0" fontId="9" fillId="4" borderId="2" xfId="1" applyFont="1" applyFill="1" applyBorder="1"/>
    <xf numFmtId="164" fontId="9" fillId="4" borderId="2" xfId="1" applyNumberFormat="1" applyFont="1" applyFill="1" applyBorder="1"/>
    <xf numFmtId="165" fontId="12" fillId="4" borderId="2" xfId="3" applyNumberFormat="1" applyFont="1" applyFill="1" applyBorder="1"/>
    <xf numFmtId="0" fontId="13" fillId="4" borderId="2" xfId="1" applyFont="1" applyFill="1" applyBorder="1"/>
    <xf numFmtId="0" fontId="13" fillId="4" borderId="2" xfId="1" applyFont="1" applyFill="1" applyBorder="1" applyAlignment="1">
      <alignment horizontal="left" indent="1"/>
    </xf>
    <xf numFmtId="166" fontId="13" fillId="5" borderId="2" xfId="1" applyNumberFormat="1" applyFont="1" applyFill="1" applyBorder="1"/>
    <xf numFmtId="164" fontId="13" fillId="4" borderId="2" xfId="1" applyNumberFormat="1" applyFont="1" applyFill="1" applyBorder="1"/>
    <xf numFmtId="165" fontId="13" fillId="4" borderId="2" xfId="3" applyNumberFormat="1" applyFont="1" applyFill="1" applyBorder="1"/>
    <xf numFmtId="0" fontId="9" fillId="0" borderId="0" xfId="1" applyFont="1"/>
    <xf numFmtId="166" fontId="11" fillId="4" borderId="2" xfId="1" applyNumberFormat="1" applyFont="1" applyFill="1" applyBorder="1"/>
    <xf numFmtId="0" fontId="5" fillId="4" borderId="2" xfId="1" applyFont="1" applyFill="1" applyBorder="1" applyAlignment="1">
      <alignment horizontal="left" indent="1"/>
    </xf>
    <xf numFmtId="0" fontId="10" fillId="0" borderId="0" xfId="1" applyFont="1"/>
    <xf numFmtId="165" fontId="14" fillId="0" borderId="0" xfId="1" applyNumberFormat="1" applyFont="1"/>
    <xf numFmtId="0" fontId="15" fillId="0" borderId="0" xfId="1" applyFont="1"/>
    <xf numFmtId="164" fontId="1" fillId="0" borderId="0" xfId="1" applyNumberFormat="1"/>
    <xf numFmtId="165" fontId="1" fillId="0" borderId="0" xfId="1" applyNumberFormat="1"/>
    <xf numFmtId="0" fontId="14" fillId="0" borderId="0" xfId="1" applyFont="1"/>
    <xf numFmtId="164" fontId="14" fillId="0" borderId="0" xfId="1" applyNumberFormat="1" applyFont="1"/>
    <xf numFmtId="0" fontId="2" fillId="2" borderId="1" xfId="1" applyFont="1" applyFill="1" applyBorder="1" applyAlignment="1">
      <alignment horizontal="center" wrapText="1"/>
    </xf>
    <xf numFmtId="0" fontId="1" fillId="2" borderId="2" xfId="1" applyFill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0" fontId="2" fillId="2" borderId="6" xfId="1" applyFont="1" applyFill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8" fillId="2" borderId="2" xfId="1" applyFont="1" applyFill="1" applyBorder="1"/>
    <xf numFmtId="164" fontId="8" fillId="2" borderId="2" xfId="1" applyNumberFormat="1" applyFont="1" applyFill="1" applyBorder="1"/>
    <xf numFmtId="165" fontId="8" fillId="2" borderId="2" xfId="1" applyNumberFormat="1" applyFont="1" applyFill="1" applyBorder="1"/>
    <xf numFmtId="0" fontId="2" fillId="2" borderId="2" xfId="1" applyFont="1" applyFill="1" applyBorder="1"/>
    <xf numFmtId="164" fontId="2" fillId="2" borderId="2" xfId="1" applyNumberFormat="1" applyFont="1" applyFill="1" applyBorder="1"/>
    <xf numFmtId="165" fontId="2" fillId="2" borderId="2" xfId="1" applyNumberFormat="1" applyFont="1" applyFill="1" applyBorder="1"/>
    <xf numFmtId="164" fontId="1" fillId="2" borderId="2" xfId="1" applyNumberFormat="1" applyFill="1" applyBorder="1"/>
    <xf numFmtId="165" fontId="1" fillId="2" borderId="2" xfId="1" applyNumberFormat="1" applyFill="1" applyBorder="1"/>
    <xf numFmtId="9" fontId="9" fillId="4" borderId="2" xfId="1" applyNumberFormat="1" applyFont="1" applyFill="1" applyBorder="1"/>
    <xf numFmtId="0" fontId="16" fillId="2" borderId="7" xfId="0" applyFont="1" applyFill="1" applyBorder="1" applyAlignment="1">
      <alignment vertical="top" readingOrder="1"/>
    </xf>
    <xf numFmtId="165" fontId="17" fillId="4" borderId="2" xfId="3" applyNumberFormat="1" applyFont="1" applyFill="1" applyBorder="1"/>
    <xf numFmtId="0" fontId="2" fillId="2" borderId="3" xfId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165" fontId="9" fillId="0" borderId="0" xfId="1" applyNumberFormat="1" applyFont="1"/>
    <xf numFmtId="44" fontId="10" fillId="0" borderId="0" xfId="1" applyNumberFormat="1" applyFont="1"/>
  </cellXfs>
  <cellStyles count="4">
    <cellStyle name="Currency 2" xfId="3" xr:uid="{F4116988-5707-4D3C-8C7C-C500F65057D6}"/>
    <cellStyle name="Normal" xfId="0" builtinId="0"/>
    <cellStyle name="Normal 3" xfId="1" xr:uid="{5E7C4B73-D916-4603-B108-7724FCE22603}"/>
    <cellStyle name="Percent 2" xfId="2" xr:uid="{239CCE9F-C2FE-49AC-A993-A2DA67755F00}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zaidi\Desktop\PPs%20&amp;%20CNs\AURORA%20proposal\Indo-Pacific%20food%20security\India%20-%20Costing%20template_2026.xlsx" TargetMode="External"/><Relationship Id="rId1" Type="http://schemas.openxmlformats.org/officeDocument/2006/relationships/externalLinkPath" Target="file:///C:\Users\phzaidi\Desktop\PPs%20&amp;%20CNs\AURORA%20proposal\Indo-Pacific%20food%20security\India%20-%20Costing%20template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for Donor"/>
      <sheetName val="Costing template"/>
      <sheetName val="2024 CB rates"/>
      <sheetName val="2026 CB rates"/>
      <sheetName val="Sheet1"/>
      <sheetName val="Sheet2"/>
      <sheetName val="2025 CB rates"/>
    </sheetNames>
    <sheetDataSet>
      <sheetData sheetId="0"/>
      <sheetData sheetId="1"/>
      <sheetData sheetId="2"/>
      <sheetData sheetId="3">
        <row r="6">
          <cell r="G6">
            <v>196.33683587029427</v>
          </cell>
        </row>
        <row r="11">
          <cell r="G11">
            <v>461.39596751703635</v>
          </cell>
        </row>
        <row r="13">
          <cell r="G13">
            <v>788.40033334430973</v>
          </cell>
        </row>
        <row r="15">
          <cell r="G15">
            <v>512.42602690166984</v>
          </cell>
        </row>
        <row r="29">
          <cell r="G29">
            <v>858.08030790486839</v>
          </cell>
        </row>
        <row r="31">
          <cell r="G31">
            <v>444.84615384615387</v>
          </cell>
        </row>
        <row r="32">
          <cell r="G32">
            <v>349.06659105719899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B365-4C72-4D35-8B8B-163973F93FC9}">
  <dimension ref="A1:J106"/>
  <sheetViews>
    <sheetView tabSelected="1" topLeftCell="A83" workbookViewId="0">
      <selection activeCell="J83" sqref="J1:J1048576"/>
    </sheetView>
  </sheetViews>
  <sheetFormatPr defaultColWidth="8.69140625" defaultRowHeight="14.6" outlineLevelRow="1" x14ac:dyDescent="0.4"/>
  <cols>
    <col min="1" max="1" width="6.23046875" style="2" customWidth="1"/>
    <col min="2" max="2" width="29.15234375" style="2" customWidth="1"/>
    <col min="3" max="3" width="17.61328125" style="2" customWidth="1"/>
    <col min="4" max="4" width="13.4609375" style="2" customWidth="1"/>
    <col min="5" max="5" width="10.4609375" style="2" customWidth="1"/>
    <col min="6" max="6" width="8.69140625" style="2" customWidth="1"/>
    <col min="7" max="7" width="12.69140625" style="2" customWidth="1"/>
    <col min="8" max="8" width="11.4609375" style="43" customWidth="1"/>
    <col min="9" max="9" width="12.23046875" style="2" customWidth="1"/>
    <col min="10" max="10" width="12.921875" style="2" bestFit="1" customWidth="1"/>
    <col min="11" max="16384" width="8.69140625" style="2"/>
  </cols>
  <sheetData>
    <row r="1" spans="1:10" s="1" customFormat="1" ht="26.5" customHeight="1" x14ac:dyDescent="0.4">
      <c r="A1" s="47"/>
      <c r="B1" s="48"/>
      <c r="C1" s="49"/>
      <c r="D1" s="49"/>
      <c r="E1" s="47"/>
      <c r="F1" s="65" t="s">
        <v>0</v>
      </c>
      <c r="G1" s="66"/>
      <c r="H1" s="67"/>
      <c r="I1" s="50"/>
    </row>
    <row r="2" spans="1:10" x14ac:dyDescent="0.4">
      <c r="A2" s="51" t="s">
        <v>1</v>
      </c>
      <c r="B2" s="51" t="s">
        <v>2</v>
      </c>
      <c r="C2" s="51" t="s">
        <v>3</v>
      </c>
      <c r="D2" s="51" t="s">
        <v>4</v>
      </c>
      <c r="E2" s="51" t="s">
        <v>5</v>
      </c>
      <c r="F2" s="51" t="s">
        <v>6</v>
      </c>
      <c r="G2" s="52" t="s">
        <v>7</v>
      </c>
      <c r="H2" s="53" t="s">
        <v>8</v>
      </c>
      <c r="I2" s="51" t="s">
        <v>9</v>
      </c>
    </row>
    <row r="3" spans="1:10" x14ac:dyDescent="0.4">
      <c r="A3" s="3" t="s">
        <v>10</v>
      </c>
      <c r="B3" s="4" t="s">
        <v>11</v>
      </c>
      <c r="C3" s="4" t="s">
        <v>72</v>
      </c>
      <c r="D3" s="4" t="s">
        <v>12</v>
      </c>
      <c r="E3" s="5"/>
      <c r="F3" s="6">
        <v>0.35</v>
      </c>
      <c r="G3" s="7">
        <v>185000</v>
      </c>
      <c r="H3" s="8">
        <v>12</v>
      </c>
      <c r="I3" s="9">
        <f t="shared" ref="I3:I30" si="0">G3/12*F3*H3</f>
        <v>64750</v>
      </c>
    </row>
    <row r="4" spans="1:10" x14ac:dyDescent="0.4">
      <c r="A4" s="3" t="s">
        <v>70</v>
      </c>
      <c r="B4" s="4" t="s">
        <v>65</v>
      </c>
      <c r="C4" s="63" t="s">
        <v>71</v>
      </c>
      <c r="D4" s="4" t="s">
        <v>12</v>
      </c>
      <c r="E4" s="5"/>
      <c r="F4" s="6">
        <v>0.2</v>
      </c>
      <c r="G4" s="7">
        <v>253000</v>
      </c>
      <c r="H4" s="8">
        <v>12</v>
      </c>
      <c r="I4" s="9">
        <f t="shared" si="0"/>
        <v>50600</v>
      </c>
    </row>
    <row r="5" spans="1:10" x14ac:dyDescent="0.4">
      <c r="A5" s="3" t="s">
        <v>63</v>
      </c>
      <c r="B5" s="4" t="s">
        <v>64</v>
      </c>
      <c r="C5" s="4" t="s">
        <v>66</v>
      </c>
      <c r="D5" s="4" t="s">
        <v>53</v>
      </c>
      <c r="E5" s="5"/>
      <c r="F5" s="6">
        <v>0.5</v>
      </c>
      <c r="G5" s="7">
        <v>196000</v>
      </c>
      <c r="H5" s="8">
        <v>12</v>
      </c>
      <c r="I5" s="9">
        <f t="shared" si="0"/>
        <v>98000</v>
      </c>
    </row>
    <row r="6" spans="1:10" x14ac:dyDescent="0.4">
      <c r="A6" s="3" t="s">
        <v>13</v>
      </c>
      <c r="B6" s="4" t="s">
        <v>67</v>
      </c>
      <c r="C6" s="4" t="s">
        <v>68</v>
      </c>
      <c r="D6" s="4" t="s">
        <v>69</v>
      </c>
      <c r="E6" s="5"/>
      <c r="F6" s="6">
        <v>0.1</v>
      </c>
      <c r="G6" s="7">
        <v>377000</v>
      </c>
      <c r="H6" s="8">
        <v>12</v>
      </c>
      <c r="I6" s="9">
        <f t="shared" si="0"/>
        <v>37700</v>
      </c>
    </row>
    <row r="7" spans="1:10" x14ac:dyDescent="0.4">
      <c r="A7" s="3" t="s">
        <v>70</v>
      </c>
      <c r="B7" s="4" t="s">
        <v>73</v>
      </c>
      <c r="C7" s="4" t="s">
        <v>74</v>
      </c>
      <c r="D7" s="4" t="s">
        <v>69</v>
      </c>
      <c r="E7" s="5"/>
      <c r="F7" s="6">
        <v>0.05</v>
      </c>
      <c r="G7" s="7">
        <v>253000</v>
      </c>
      <c r="H7" s="8">
        <v>12</v>
      </c>
      <c r="I7" s="9">
        <f t="shared" si="0"/>
        <v>12650</v>
      </c>
    </row>
    <row r="8" spans="1:10" x14ac:dyDescent="0.4">
      <c r="A8" s="3" t="s">
        <v>63</v>
      </c>
      <c r="B8" s="4" t="s">
        <v>75</v>
      </c>
      <c r="C8" s="4" t="s">
        <v>76</v>
      </c>
      <c r="D8" s="4" t="s">
        <v>69</v>
      </c>
      <c r="E8" s="5"/>
      <c r="F8" s="6">
        <v>0.05</v>
      </c>
      <c r="G8" s="7">
        <v>196000</v>
      </c>
      <c r="H8" s="8">
        <v>12</v>
      </c>
      <c r="I8" s="9">
        <f t="shared" si="0"/>
        <v>9800</v>
      </c>
    </row>
    <row r="9" spans="1:10" x14ac:dyDescent="0.4">
      <c r="A9" s="3" t="s">
        <v>63</v>
      </c>
      <c r="B9" s="4" t="s">
        <v>77</v>
      </c>
      <c r="C9" s="4" t="s">
        <v>78</v>
      </c>
      <c r="D9" s="4" t="s">
        <v>79</v>
      </c>
      <c r="E9" s="5"/>
      <c r="F9" s="6">
        <v>0.05</v>
      </c>
      <c r="G9" s="7">
        <v>196000</v>
      </c>
      <c r="H9" s="8">
        <v>12</v>
      </c>
      <c r="I9" s="9">
        <f t="shared" si="0"/>
        <v>9800</v>
      </c>
    </row>
    <row r="10" spans="1:10" x14ac:dyDescent="0.4">
      <c r="A10" s="10" t="s">
        <v>14</v>
      </c>
      <c r="B10" s="11"/>
      <c r="C10" s="11" t="s">
        <v>15</v>
      </c>
      <c r="D10" s="11" t="s">
        <v>12</v>
      </c>
      <c r="E10" s="12"/>
      <c r="F10" s="13">
        <v>1</v>
      </c>
      <c r="G10" s="14">
        <v>8988</v>
      </c>
      <c r="H10" s="15">
        <v>12</v>
      </c>
      <c r="I10" s="16">
        <f t="shared" si="0"/>
        <v>8988</v>
      </c>
    </row>
    <row r="11" spans="1:10" x14ac:dyDescent="0.4">
      <c r="A11" s="10" t="s">
        <v>16</v>
      </c>
      <c r="B11" s="11"/>
      <c r="C11" s="11" t="s">
        <v>17</v>
      </c>
      <c r="D11" s="11" t="s">
        <v>12</v>
      </c>
      <c r="E11" s="12"/>
      <c r="F11" s="13">
        <v>0.5</v>
      </c>
      <c r="G11" s="14">
        <v>15000</v>
      </c>
      <c r="H11" s="15">
        <v>12</v>
      </c>
      <c r="I11" s="16">
        <f t="shared" si="0"/>
        <v>7500</v>
      </c>
    </row>
    <row r="12" spans="1:10" x14ac:dyDescent="0.4">
      <c r="A12" s="10" t="s">
        <v>18</v>
      </c>
      <c r="B12" s="11"/>
      <c r="C12" s="11" t="s">
        <v>19</v>
      </c>
      <c r="D12" s="11" t="s">
        <v>12</v>
      </c>
      <c r="E12" s="12"/>
      <c r="F12" s="13">
        <v>1</v>
      </c>
      <c r="G12" s="14">
        <v>46117.65</v>
      </c>
      <c r="H12" s="15">
        <v>12</v>
      </c>
      <c r="I12" s="16">
        <f t="shared" si="0"/>
        <v>46117.65</v>
      </c>
      <c r="J12" s="44"/>
    </row>
    <row r="13" spans="1:10" x14ac:dyDescent="0.4">
      <c r="A13" s="10"/>
      <c r="B13" s="11"/>
      <c r="C13" s="11"/>
      <c r="D13" s="11"/>
      <c r="E13" s="12"/>
      <c r="F13" s="13"/>
      <c r="G13" s="14"/>
      <c r="H13" s="15"/>
      <c r="I13" s="16"/>
    </row>
    <row r="14" spans="1:10" hidden="1" outlineLevel="1" x14ac:dyDescent="0.4">
      <c r="A14" s="12"/>
      <c r="B14" s="11"/>
      <c r="C14" s="11"/>
      <c r="D14" s="11"/>
      <c r="E14" s="12"/>
      <c r="F14" s="13">
        <v>0</v>
      </c>
      <c r="G14" s="14"/>
      <c r="H14" s="15">
        <v>12</v>
      </c>
      <c r="I14" s="16">
        <f t="shared" si="0"/>
        <v>0</v>
      </c>
    </row>
    <row r="15" spans="1:10" hidden="1" outlineLevel="1" x14ac:dyDescent="0.4">
      <c r="A15" s="12"/>
      <c r="B15" s="11"/>
      <c r="C15" s="11"/>
      <c r="D15" s="11"/>
      <c r="E15" s="12"/>
      <c r="F15" s="13">
        <v>0</v>
      </c>
      <c r="G15" s="14"/>
      <c r="H15" s="15">
        <v>12</v>
      </c>
      <c r="I15" s="16">
        <f t="shared" si="0"/>
        <v>0</v>
      </c>
    </row>
    <row r="16" spans="1:10" hidden="1" outlineLevel="1" x14ac:dyDescent="0.4">
      <c r="A16" s="12"/>
      <c r="B16" s="11"/>
      <c r="C16" s="11"/>
      <c r="D16" s="11"/>
      <c r="E16" s="12"/>
      <c r="F16" s="13">
        <v>0</v>
      </c>
      <c r="G16" s="14"/>
      <c r="H16" s="15">
        <v>12</v>
      </c>
      <c r="I16" s="16">
        <f t="shared" si="0"/>
        <v>0</v>
      </c>
    </row>
    <row r="17" spans="1:9" hidden="1" outlineLevel="1" x14ac:dyDescent="0.4">
      <c r="A17" s="12"/>
      <c r="B17" s="11"/>
      <c r="C17" s="11"/>
      <c r="D17" s="11"/>
      <c r="E17" s="12"/>
      <c r="F17" s="13">
        <v>0</v>
      </c>
      <c r="G17" s="14"/>
      <c r="H17" s="15">
        <v>12</v>
      </c>
      <c r="I17" s="16">
        <f t="shared" si="0"/>
        <v>0</v>
      </c>
    </row>
    <row r="18" spans="1:9" hidden="1" outlineLevel="1" x14ac:dyDescent="0.4">
      <c r="A18" s="12"/>
      <c r="B18" s="11"/>
      <c r="C18" s="11"/>
      <c r="D18" s="11"/>
      <c r="E18" s="12"/>
      <c r="F18" s="13">
        <v>0</v>
      </c>
      <c r="G18" s="14"/>
      <c r="H18" s="15">
        <v>12</v>
      </c>
      <c r="I18" s="16">
        <f t="shared" si="0"/>
        <v>0</v>
      </c>
    </row>
    <row r="19" spans="1:9" hidden="1" outlineLevel="1" x14ac:dyDescent="0.4">
      <c r="A19" s="12"/>
      <c r="B19" s="11"/>
      <c r="C19" s="11"/>
      <c r="D19" s="11"/>
      <c r="E19" s="12"/>
      <c r="F19" s="13">
        <v>0</v>
      </c>
      <c r="G19" s="14"/>
      <c r="H19" s="15">
        <v>12</v>
      </c>
      <c r="I19" s="16">
        <f t="shared" si="0"/>
        <v>0</v>
      </c>
    </row>
    <row r="20" spans="1:9" hidden="1" outlineLevel="1" x14ac:dyDescent="0.4">
      <c r="A20" s="12"/>
      <c r="B20" s="11"/>
      <c r="C20" s="11"/>
      <c r="D20" s="11"/>
      <c r="E20" s="12"/>
      <c r="F20" s="13">
        <v>0</v>
      </c>
      <c r="G20" s="14"/>
      <c r="H20" s="15">
        <v>12</v>
      </c>
      <c r="I20" s="16">
        <f t="shared" si="0"/>
        <v>0</v>
      </c>
    </row>
    <row r="21" spans="1:9" hidden="1" outlineLevel="1" x14ac:dyDescent="0.4">
      <c r="A21" s="12"/>
      <c r="B21" s="11"/>
      <c r="C21" s="11"/>
      <c r="D21" s="11"/>
      <c r="E21" s="12"/>
      <c r="F21" s="13">
        <v>0</v>
      </c>
      <c r="G21" s="14"/>
      <c r="H21" s="15">
        <v>12</v>
      </c>
      <c r="I21" s="16">
        <f t="shared" si="0"/>
        <v>0</v>
      </c>
    </row>
    <row r="22" spans="1:9" hidden="1" outlineLevel="1" x14ac:dyDescent="0.4">
      <c r="A22" s="12"/>
      <c r="B22" s="11"/>
      <c r="C22" s="11"/>
      <c r="D22" s="11"/>
      <c r="E22" s="12"/>
      <c r="F22" s="13">
        <v>0</v>
      </c>
      <c r="G22" s="14"/>
      <c r="H22" s="15">
        <v>12</v>
      </c>
      <c r="I22" s="16">
        <f t="shared" si="0"/>
        <v>0</v>
      </c>
    </row>
    <row r="23" spans="1:9" hidden="1" outlineLevel="1" x14ac:dyDescent="0.4">
      <c r="A23" s="12"/>
      <c r="B23" s="11"/>
      <c r="C23" s="11"/>
      <c r="D23" s="11"/>
      <c r="E23" s="12"/>
      <c r="F23" s="13">
        <v>0</v>
      </c>
      <c r="G23" s="14"/>
      <c r="H23" s="15">
        <v>12</v>
      </c>
      <c r="I23" s="16">
        <f t="shared" si="0"/>
        <v>0</v>
      </c>
    </row>
    <row r="24" spans="1:9" hidden="1" outlineLevel="1" x14ac:dyDescent="0.4">
      <c r="A24" s="12"/>
      <c r="B24" s="11"/>
      <c r="C24" s="11"/>
      <c r="D24" s="11"/>
      <c r="E24" s="12"/>
      <c r="F24" s="13">
        <v>0</v>
      </c>
      <c r="G24" s="14"/>
      <c r="H24" s="15">
        <v>12</v>
      </c>
      <c r="I24" s="16">
        <f t="shared" si="0"/>
        <v>0</v>
      </c>
    </row>
    <row r="25" spans="1:9" hidden="1" outlineLevel="1" x14ac:dyDescent="0.4">
      <c r="A25" s="12"/>
      <c r="B25" s="11"/>
      <c r="C25" s="11"/>
      <c r="D25" s="11"/>
      <c r="E25" s="12"/>
      <c r="F25" s="13">
        <v>0</v>
      </c>
      <c r="G25" s="14"/>
      <c r="H25" s="15">
        <v>12</v>
      </c>
      <c r="I25" s="16">
        <f t="shared" si="0"/>
        <v>0</v>
      </c>
    </row>
    <row r="26" spans="1:9" hidden="1" outlineLevel="1" x14ac:dyDescent="0.4">
      <c r="A26" s="12"/>
      <c r="B26" s="11"/>
      <c r="C26" s="11"/>
      <c r="D26" s="11"/>
      <c r="E26" s="12"/>
      <c r="F26" s="13">
        <v>0</v>
      </c>
      <c r="G26" s="14"/>
      <c r="H26" s="15">
        <v>12</v>
      </c>
      <c r="I26" s="16">
        <f t="shared" si="0"/>
        <v>0</v>
      </c>
    </row>
    <row r="27" spans="1:9" hidden="1" outlineLevel="1" x14ac:dyDescent="0.4">
      <c r="A27" s="12"/>
      <c r="B27" s="11"/>
      <c r="C27" s="11"/>
      <c r="D27" s="11"/>
      <c r="E27" s="12"/>
      <c r="F27" s="13">
        <v>0</v>
      </c>
      <c r="G27" s="14"/>
      <c r="H27" s="15">
        <v>12</v>
      </c>
      <c r="I27" s="16">
        <f t="shared" si="0"/>
        <v>0</v>
      </c>
    </row>
    <row r="28" spans="1:9" hidden="1" outlineLevel="1" x14ac:dyDescent="0.4">
      <c r="A28" s="12"/>
      <c r="B28" s="11"/>
      <c r="C28" s="11"/>
      <c r="D28" s="11"/>
      <c r="E28" s="12"/>
      <c r="F28" s="13">
        <v>0</v>
      </c>
      <c r="G28" s="14"/>
      <c r="H28" s="15">
        <v>12</v>
      </c>
      <c r="I28" s="16">
        <f t="shared" si="0"/>
        <v>0</v>
      </c>
    </row>
    <row r="29" spans="1:9" hidden="1" outlineLevel="1" x14ac:dyDescent="0.4">
      <c r="A29" s="12"/>
      <c r="B29" s="11"/>
      <c r="C29" s="11"/>
      <c r="D29" s="11"/>
      <c r="E29" s="12"/>
      <c r="F29" s="13">
        <v>0</v>
      </c>
      <c r="G29" s="14"/>
      <c r="H29" s="15">
        <v>12</v>
      </c>
      <c r="I29" s="16">
        <f t="shared" si="0"/>
        <v>0</v>
      </c>
    </row>
    <row r="30" spans="1:9" hidden="1" outlineLevel="1" x14ac:dyDescent="0.4">
      <c r="A30" s="12"/>
      <c r="B30" s="11"/>
      <c r="C30" s="11"/>
      <c r="D30" s="11"/>
      <c r="E30" s="12"/>
      <c r="F30" s="13">
        <v>0</v>
      </c>
      <c r="G30" s="14"/>
      <c r="H30" s="15">
        <v>12</v>
      </c>
      <c r="I30" s="16">
        <f t="shared" si="0"/>
        <v>0</v>
      </c>
    </row>
    <row r="31" spans="1:9" hidden="1" outlineLevel="1" x14ac:dyDescent="0.4">
      <c r="A31" s="12"/>
      <c r="B31" s="11"/>
      <c r="C31" s="11"/>
      <c r="D31" s="11"/>
      <c r="E31" s="12"/>
      <c r="F31" s="13">
        <v>0</v>
      </c>
      <c r="G31" s="14"/>
      <c r="H31" s="15">
        <v>12</v>
      </c>
      <c r="I31" s="16">
        <f>G31/12*F31*H31</f>
        <v>0</v>
      </c>
    </row>
    <row r="32" spans="1:9" hidden="1" outlineLevel="1" x14ac:dyDescent="0.4">
      <c r="A32" s="12"/>
      <c r="B32" s="11"/>
      <c r="C32" s="11"/>
      <c r="D32" s="11"/>
      <c r="E32" s="12"/>
      <c r="F32" s="13">
        <v>0</v>
      </c>
      <c r="G32" s="14"/>
      <c r="H32" s="15">
        <v>12</v>
      </c>
      <c r="I32" s="16">
        <f t="shared" ref="I32:I42" si="1">G32/12*F32*H32</f>
        <v>0</v>
      </c>
    </row>
    <row r="33" spans="1:10" hidden="1" outlineLevel="1" x14ac:dyDescent="0.4">
      <c r="A33" s="12"/>
      <c r="B33" s="11"/>
      <c r="C33" s="11"/>
      <c r="D33" s="11"/>
      <c r="E33" s="12"/>
      <c r="F33" s="13">
        <v>0</v>
      </c>
      <c r="G33" s="14"/>
      <c r="H33" s="15">
        <v>12</v>
      </c>
      <c r="I33" s="16">
        <f t="shared" si="1"/>
        <v>0</v>
      </c>
    </row>
    <row r="34" spans="1:10" hidden="1" outlineLevel="1" x14ac:dyDescent="0.4">
      <c r="A34" s="12"/>
      <c r="B34" s="11"/>
      <c r="C34" s="11"/>
      <c r="D34" s="11"/>
      <c r="E34" s="12"/>
      <c r="F34" s="13">
        <v>0</v>
      </c>
      <c r="G34" s="14"/>
      <c r="H34" s="15">
        <v>12</v>
      </c>
      <c r="I34" s="16">
        <f t="shared" si="1"/>
        <v>0</v>
      </c>
    </row>
    <row r="35" spans="1:10" hidden="1" outlineLevel="1" x14ac:dyDescent="0.4">
      <c r="A35" s="12"/>
      <c r="B35" s="11"/>
      <c r="C35" s="11"/>
      <c r="D35" s="11"/>
      <c r="E35" s="12"/>
      <c r="F35" s="13">
        <v>0</v>
      </c>
      <c r="G35" s="14"/>
      <c r="H35" s="15">
        <v>12</v>
      </c>
      <c r="I35" s="16">
        <f t="shared" si="1"/>
        <v>0</v>
      </c>
    </row>
    <row r="36" spans="1:10" hidden="1" outlineLevel="1" x14ac:dyDescent="0.4">
      <c r="A36" s="12"/>
      <c r="B36" s="11"/>
      <c r="C36" s="11"/>
      <c r="D36" s="11"/>
      <c r="E36" s="12"/>
      <c r="F36" s="13">
        <v>0</v>
      </c>
      <c r="G36" s="14"/>
      <c r="H36" s="15">
        <v>12</v>
      </c>
      <c r="I36" s="16">
        <f t="shared" si="1"/>
        <v>0</v>
      </c>
    </row>
    <row r="37" spans="1:10" hidden="1" outlineLevel="1" x14ac:dyDescent="0.4">
      <c r="A37" s="12"/>
      <c r="B37" s="11"/>
      <c r="C37" s="11"/>
      <c r="D37" s="11"/>
      <c r="E37" s="12"/>
      <c r="F37" s="13">
        <v>0</v>
      </c>
      <c r="G37" s="14"/>
      <c r="H37" s="15">
        <v>12</v>
      </c>
      <c r="I37" s="16">
        <f t="shared" si="1"/>
        <v>0</v>
      </c>
    </row>
    <row r="38" spans="1:10" hidden="1" outlineLevel="1" x14ac:dyDescent="0.4">
      <c r="A38" s="12"/>
      <c r="B38" s="11"/>
      <c r="C38" s="11"/>
      <c r="D38" s="11"/>
      <c r="E38" s="12"/>
      <c r="F38" s="13">
        <v>0</v>
      </c>
      <c r="G38" s="14"/>
      <c r="H38" s="15">
        <v>12</v>
      </c>
      <c r="I38" s="16">
        <f t="shared" si="1"/>
        <v>0</v>
      </c>
    </row>
    <row r="39" spans="1:10" hidden="1" outlineLevel="1" x14ac:dyDescent="0.4">
      <c r="A39" s="12"/>
      <c r="B39" s="11"/>
      <c r="C39" s="11"/>
      <c r="D39" s="11"/>
      <c r="E39" s="12"/>
      <c r="F39" s="13">
        <v>0</v>
      </c>
      <c r="G39" s="14"/>
      <c r="H39" s="15">
        <v>12</v>
      </c>
      <c r="I39" s="16">
        <f t="shared" si="1"/>
        <v>0</v>
      </c>
    </row>
    <row r="40" spans="1:10" hidden="1" outlineLevel="1" x14ac:dyDescent="0.4">
      <c r="A40" s="12"/>
      <c r="B40" s="11"/>
      <c r="C40" s="11"/>
      <c r="D40" s="11"/>
      <c r="E40" s="12"/>
      <c r="F40" s="13">
        <v>0</v>
      </c>
      <c r="G40" s="14"/>
      <c r="H40" s="15">
        <v>12</v>
      </c>
      <c r="I40" s="16">
        <f t="shared" si="1"/>
        <v>0</v>
      </c>
    </row>
    <row r="41" spans="1:10" hidden="1" outlineLevel="1" x14ac:dyDescent="0.4">
      <c r="A41" s="12"/>
      <c r="B41" s="17"/>
      <c r="C41" s="17"/>
      <c r="D41" s="17"/>
      <c r="E41" s="12"/>
      <c r="F41" s="13">
        <v>0</v>
      </c>
      <c r="G41" s="14"/>
      <c r="H41" s="15">
        <v>12</v>
      </c>
      <c r="I41" s="16">
        <f t="shared" si="1"/>
        <v>0</v>
      </c>
    </row>
    <row r="42" spans="1:10" hidden="1" outlineLevel="1" x14ac:dyDescent="0.4">
      <c r="A42" s="12"/>
      <c r="B42" s="18"/>
      <c r="C42" s="18"/>
      <c r="D42" s="18"/>
      <c r="E42" s="12"/>
      <c r="F42" s="13">
        <v>0</v>
      </c>
      <c r="G42" s="14"/>
      <c r="H42" s="15">
        <v>12</v>
      </c>
      <c r="I42" s="16">
        <f t="shared" si="1"/>
        <v>0</v>
      </c>
    </row>
    <row r="43" spans="1:10" s="19" customFormat="1" collapsed="1" x14ac:dyDescent="0.4">
      <c r="A43" s="54"/>
      <c r="B43" s="54" t="s">
        <v>20</v>
      </c>
      <c r="C43" s="54"/>
      <c r="D43" s="54"/>
      <c r="E43" s="54"/>
      <c r="F43" s="54"/>
      <c r="G43" s="54"/>
      <c r="H43" s="55"/>
      <c r="I43" s="56">
        <f>SUM(I3:I42)</f>
        <v>345905.65</v>
      </c>
    </row>
    <row r="44" spans="1:10" s="22" customFormat="1" x14ac:dyDescent="0.4">
      <c r="A44" s="57"/>
      <c r="B44" s="57" t="s">
        <v>21</v>
      </c>
      <c r="C44" s="57"/>
      <c r="D44" s="57"/>
      <c r="E44" s="57"/>
      <c r="F44" s="57"/>
      <c r="G44" s="57"/>
      <c r="H44" s="58"/>
      <c r="I44" s="59">
        <f>+I45+I46+I47+I48</f>
        <v>240000</v>
      </c>
    </row>
    <row r="45" spans="1:10" x14ac:dyDescent="0.4">
      <c r="A45" s="20"/>
      <c r="B45" s="23" t="s">
        <v>22</v>
      </c>
      <c r="C45" s="23" t="s">
        <v>23</v>
      </c>
      <c r="D45" s="23" t="s">
        <v>24</v>
      </c>
      <c r="E45" s="20"/>
      <c r="F45" s="12">
        <v>1</v>
      </c>
      <c r="G45" s="14">
        <v>36000</v>
      </c>
      <c r="H45" s="15">
        <v>12</v>
      </c>
      <c r="I45" s="9">
        <f t="shared" ref="I45:I48" si="2">G45/12*F45*H45</f>
        <v>36000</v>
      </c>
    </row>
    <row r="46" spans="1:10" x14ac:dyDescent="0.4">
      <c r="A46" s="20"/>
      <c r="B46" s="23" t="s">
        <v>25</v>
      </c>
      <c r="C46" s="23" t="s">
        <v>23</v>
      </c>
      <c r="D46" s="23" t="s">
        <v>26</v>
      </c>
      <c r="E46" s="20"/>
      <c r="F46" s="12">
        <v>1</v>
      </c>
      <c r="G46" s="14">
        <v>36000</v>
      </c>
      <c r="H46" s="15">
        <v>12</v>
      </c>
      <c r="I46" s="9">
        <f t="shared" si="2"/>
        <v>36000</v>
      </c>
    </row>
    <row r="47" spans="1:10" x14ac:dyDescent="0.4">
      <c r="A47" s="20"/>
      <c r="B47" s="23" t="s">
        <v>27</v>
      </c>
      <c r="C47" s="23" t="s">
        <v>23</v>
      </c>
      <c r="D47" s="23" t="s">
        <v>53</v>
      </c>
      <c r="E47" s="20"/>
      <c r="F47" s="12">
        <v>3</v>
      </c>
      <c r="G47" s="14">
        <v>36000</v>
      </c>
      <c r="H47" s="15">
        <v>12</v>
      </c>
      <c r="I47" s="9">
        <f t="shared" si="2"/>
        <v>108000</v>
      </c>
    </row>
    <row r="48" spans="1:10" x14ac:dyDescent="0.4">
      <c r="A48" s="20"/>
      <c r="B48" s="23" t="s">
        <v>80</v>
      </c>
      <c r="C48" s="23" t="s">
        <v>81</v>
      </c>
      <c r="D48" s="23" t="s">
        <v>53</v>
      </c>
      <c r="E48" s="20"/>
      <c r="F48" s="12">
        <v>2</v>
      </c>
      <c r="G48" s="14">
        <v>30000</v>
      </c>
      <c r="H48" s="15">
        <v>12</v>
      </c>
      <c r="I48" s="9">
        <f t="shared" si="2"/>
        <v>60000</v>
      </c>
      <c r="J48" s="44"/>
    </row>
    <row r="49" spans="1:10" x14ac:dyDescent="0.4">
      <c r="A49" s="20"/>
      <c r="B49" s="23"/>
      <c r="C49" s="23"/>
      <c r="D49" s="23"/>
      <c r="E49" s="20"/>
      <c r="F49" s="12"/>
      <c r="G49" s="14"/>
      <c r="H49" s="15"/>
      <c r="I49" s="9"/>
    </row>
    <row r="50" spans="1:10" s="19" customFormat="1" x14ac:dyDescent="0.4">
      <c r="A50" s="54"/>
      <c r="B50" s="54" t="s">
        <v>28</v>
      </c>
      <c r="C50" s="54"/>
      <c r="D50" s="54"/>
      <c r="E50" s="54"/>
      <c r="F50" s="54"/>
      <c r="G50" s="54"/>
      <c r="H50" s="55"/>
      <c r="I50" s="56">
        <f>SUM(I51:I55)</f>
        <v>420500</v>
      </c>
    </row>
    <row r="51" spans="1:10" x14ac:dyDescent="0.4">
      <c r="A51" s="20"/>
      <c r="B51" s="23" t="s">
        <v>29</v>
      </c>
      <c r="C51" s="23"/>
      <c r="D51" s="23" t="s">
        <v>30</v>
      </c>
      <c r="E51" s="20"/>
      <c r="F51" s="11"/>
      <c r="G51" s="14">
        <v>50000</v>
      </c>
      <c r="H51" s="24">
        <v>1</v>
      </c>
      <c r="I51" s="21">
        <f>G51*H51</f>
        <v>50000</v>
      </c>
    </row>
    <row r="52" spans="1:10" x14ac:dyDescent="0.4">
      <c r="A52" s="20"/>
      <c r="B52" s="23" t="s">
        <v>33</v>
      </c>
      <c r="C52" s="23"/>
      <c r="D52" s="23" t="s">
        <v>30</v>
      </c>
      <c r="E52" s="20"/>
      <c r="F52" s="11"/>
      <c r="G52" s="14">
        <v>40000</v>
      </c>
      <c r="H52" s="24">
        <v>1</v>
      </c>
      <c r="I52" s="21">
        <f>G52*H52</f>
        <v>40000</v>
      </c>
    </row>
    <row r="53" spans="1:10" x14ac:dyDescent="0.4">
      <c r="A53" s="20"/>
      <c r="B53" s="23" t="s">
        <v>31</v>
      </c>
      <c r="C53" s="23"/>
      <c r="D53" s="23" t="s">
        <v>88</v>
      </c>
      <c r="E53" s="20"/>
      <c r="F53" s="11"/>
      <c r="G53" s="14">
        <v>80000</v>
      </c>
      <c r="H53" s="24">
        <v>1</v>
      </c>
      <c r="I53" s="21">
        <f>G53*H53</f>
        <v>80000</v>
      </c>
    </row>
    <row r="54" spans="1:10" x14ac:dyDescent="0.4">
      <c r="A54" s="20"/>
      <c r="B54" s="23" t="s">
        <v>31</v>
      </c>
      <c r="C54" s="23"/>
      <c r="D54" s="23" t="s">
        <v>86</v>
      </c>
      <c r="E54" s="20"/>
      <c r="F54" s="11"/>
      <c r="G54" s="14">
        <v>58500</v>
      </c>
      <c r="H54" s="24">
        <v>3</v>
      </c>
      <c r="I54" s="21">
        <f>+G54*H54</f>
        <v>175500</v>
      </c>
    </row>
    <row r="55" spans="1:10" x14ac:dyDescent="0.4">
      <c r="A55" s="20"/>
      <c r="B55" s="23" t="s">
        <v>87</v>
      </c>
      <c r="C55" s="23"/>
      <c r="D55" s="23" t="s">
        <v>86</v>
      </c>
      <c r="E55" s="20"/>
      <c r="F55" s="11"/>
      <c r="G55" s="14">
        <v>25000</v>
      </c>
      <c r="H55" s="24">
        <v>3</v>
      </c>
      <c r="I55" s="21">
        <f>+G55*H55</f>
        <v>75000</v>
      </c>
      <c r="J55" s="44"/>
    </row>
    <row r="56" spans="1:10" s="19" customFormat="1" x14ac:dyDescent="0.4">
      <c r="A56" s="54"/>
      <c r="B56" s="54" t="s">
        <v>32</v>
      </c>
      <c r="C56" s="54"/>
      <c r="D56" s="54"/>
      <c r="E56" s="54"/>
      <c r="F56" s="54"/>
      <c r="G56" s="54"/>
      <c r="H56" s="55"/>
      <c r="I56" s="56">
        <f>SUM(I57:I59)</f>
        <v>472000</v>
      </c>
    </row>
    <row r="57" spans="1:10" x14ac:dyDescent="0.4">
      <c r="A57" s="20"/>
      <c r="B57" s="23" t="s">
        <v>29</v>
      </c>
      <c r="C57" s="23"/>
      <c r="D57" s="23" t="s">
        <v>30</v>
      </c>
      <c r="E57" s="20"/>
      <c r="F57" s="11"/>
      <c r="G57" s="14">
        <v>382000</v>
      </c>
      <c r="H57" s="24">
        <v>1</v>
      </c>
      <c r="I57" s="21">
        <f>G57*H57</f>
        <v>382000</v>
      </c>
    </row>
    <row r="58" spans="1:10" x14ac:dyDescent="0.4">
      <c r="A58" s="20"/>
      <c r="B58" s="23" t="s">
        <v>33</v>
      </c>
      <c r="C58" s="23"/>
      <c r="D58" s="23" t="s">
        <v>53</v>
      </c>
      <c r="E58" s="20"/>
      <c r="F58" s="11"/>
      <c r="G58" s="14">
        <v>90000</v>
      </c>
      <c r="H58" s="24">
        <v>1</v>
      </c>
      <c r="I58" s="21">
        <f>+G58*H58</f>
        <v>90000</v>
      </c>
      <c r="J58" s="44"/>
    </row>
    <row r="59" spans="1:10" x14ac:dyDescent="0.4">
      <c r="A59" s="20"/>
      <c r="B59" s="23" t="s">
        <v>31</v>
      </c>
      <c r="C59" s="23"/>
      <c r="D59" s="23"/>
      <c r="E59" s="20"/>
      <c r="F59" s="11"/>
      <c r="G59" s="11"/>
      <c r="H59" s="24"/>
      <c r="I59" s="21"/>
    </row>
    <row r="60" spans="1:10" s="19" customFormat="1" x14ac:dyDescent="0.4">
      <c r="A60" s="54"/>
      <c r="B60" s="54" t="s">
        <v>34</v>
      </c>
      <c r="C60" s="54"/>
      <c r="D60" s="54"/>
      <c r="E60" s="54"/>
      <c r="F60" s="54"/>
      <c r="G60" s="54"/>
      <c r="H60" s="55"/>
      <c r="I60" s="56">
        <f>SUM(I61:I67)</f>
        <v>310000</v>
      </c>
    </row>
    <row r="61" spans="1:10" x14ac:dyDescent="0.4">
      <c r="A61" s="11"/>
      <c r="B61" s="23" t="s">
        <v>35</v>
      </c>
      <c r="C61" s="23"/>
      <c r="D61" s="23" t="s">
        <v>30</v>
      </c>
      <c r="E61" s="11"/>
      <c r="F61" s="11"/>
      <c r="G61" s="14">
        <v>25000</v>
      </c>
      <c r="H61" s="24">
        <v>1</v>
      </c>
      <c r="I61" s="21">
        <f>G61*H61</f>
        <v>25000</v>
      </c>
    </row>
    <row r="62" spans="1:10" x14ac:dyDescent="0.4">
      <c r="A62" s="11"/>
      <c r="B62" s="23" t="s">
        <v>36</v>
      </c>
      <c r="C62" s="23"/>
      <c r="D62" s="23" t="s">
        <v>30</v>
      </c>
      <c r="E62" s="11"/>
      <c r="F62" s="11"/>
      <c r="G62" s="14">
        <v>20000</v>
      </c>
      <c r="H62" s="24">
        <v>1</v>
      </c>
      <c r="I62" s="21">
        <f t="shared" ref="I62:I70" si="3">G62*H62</f>
        <v>20000</v>
      </c>
    </row>
    <row r="63" spans="1:10" x14ac:dyDescent="0.4">
      <c r="A63" s="11"/>
      <c r="B63" s="23" t="s">
        <v>37</v>
      </c>
      <c r="C63" s="23"/>
      <c r="D63" s="23" t="s">
        <v>30</v>
      </c>
      <c r="E63" s="11"/>
      <c r="F63" s="11"/>
      <c r="G63" s="14">
        <v>20000</v>
      </c>
      <c r="H63" s="24">
        <v>1</v>
      </c>
      <c r="I63" s="21">
        <f t="shared" si="3"/>
        <v>20000</v>
      </c>
    </row>
    <row r="64" spans="1:10" x14ac:dyDescent="0.4">
      <c r="A64" s="11"/>
      <c r="B64" s="23" t="s">
        <v>38</v>
      </c>
      <c r="C64" s="23"/>
      <c r="D64" s="23" t="s">
        <v>30</v>
      </c>
      <c r="E64" s="11"/>
      <c r="F64" s="11"/>
      <c r="G64" s="14">
        <v>20000</v>
      </c>
      <c r="H64" s="24">
        <v>1</v>
      </c>
      <c r="I64" s="21">
        <f t="shared" si="3"/>
        <v>20000</v>
      </c>
    </row>
    <row r="65" spans="1:10" x14ac:dyDescent="0.4">
      <c r="A65" s="11"/>
      <c r="B65" s="23" t="s">
        <v>40</v>
      </c>
      <c r="C65" s="23"/>
      <c r="D65" s="23" t="s">
        <v>89</v>
      </c>
      <c r="E65" s="11"/>
      <c r="F65" s="11"/>
      <c r="G65" s="14">
        <v>180000</v>
      </c>
      <c r="H65" s="24">
        <v>1</v>
      </c>
      <c r="I65" s="21">
        <f t="shared" si="3"/>
        <v>180000</v>
      </c>
    </row>
    <row r="66" spans="1:10" x14ac:dyDescent="0.4">
      <c r="A66" s="11"/>
      <c r="B66" s="23" t="s">
        <v>84</v>
      </c>
      <c r="C66" s="23"/>
      <c r="D66" s="23" t="s">
        <v>39</v>
      </c>
      <c r="E66" s="11"/>
      <c r="F66" s="11"/>
      <c r="G66" s="14">
        <v>20000</v>
      </c>
      <c r="H66" s="24">
        <v>1</v>
      </c>
      <c r="I66" s="21">
        <f t="shared" si="3"/>
        <v>20000</v>
      </c>
    </row>
    <row r="67" spans="1:10" x14ac:dyDescent="0.4">
      <c r="A67" s="11"/>
      <c r="B67" s="23" t="s">
        <v>85</v>
      </c>
      <c r="C67" s="23"/>
      <c r="D67" s="23" t="s">
        <v>26</v>
      </c>
      <c r="E67" s="11"/>
      <c r="F67" s="11"/>
      <c r="G67" s="14">
        <v>25000</v>
      </c>
      <c r="H67" s="24">
        <v>1</v>
      </c>
      <c r="I67" s="21">
        <f t="shared" si="3"/>
        <v>25000</v>
      </c>
      <c r="J67" s="44"/>
    </row>
    <row r="68" spans="1:10" s="19" customFormat="1" x14ac:dyDescent="0.4">
      <c r="A68" s="54"/>
      <c r="B68" s="54" t="s">
        <v>41</v>
      </c>
      <c r="C68" s="54"/>
      <c r="D68" s="54"/>
      <c r="E68" s="54"/>
      <c r="F68" s="54"/>
      <c r="G68" s="54"/>
      <c r="H68" s="55"/>
      <c r="I68" s="56">
        <f>SUM(I69:I71)</f>
        <v>505000</v>
      </c>
    </row>
    <row r="69" spans="1:10" x14ac:dyDescent="0.4">
      <c r="A69" s="11"/>
      <c r="B69" s="23" t="s">
        <v>42</v>
      </c>
      <c r="C69" s="23"/>
      <c r="D69" s="23" t="s">
        <v>30</v>
      </c>
      <c r="E69" s="11"/>
      <c r="F69" s="11"/>
      <c r="G69" s="14">
        <v>50000</v>
      </c>
      <c r="H69" s="24">
        <v>1</v>
      </c>
      <c r="I69" s="21">
        <f t="shared" si="3"/>
        <v>50000</v>
      </c>
    </row>
    <row r="70" spans="1:10" x14ac:dyDescent="0.4">
      <c r="A70" s="11"/>
      <c r="B70" s="23" t="s">
        <v>43</v>
      </c>
      <c r="C70" s="23"/>
      <c r="D70" s="23" t="s">
        <v>53</v>
      </c>
      <c r="E70" s="11"/>
      <c r="F70" s="11"/>
      <c r="G70" s="14">
        <v>455000</v>
      </c>
      <c r="H70" s="24">
        <v>1</v>
      </c>
      <c r="I70" s="21">
        <f t="shared" si="3"/>
        <v>455000</v>
      </c>
      <c r="J70" s="44"/>
    </row>
    <row r="71" spans="1:10" x14ac:dyDescent="0.4">
      <c r="A71" s="11"/>
      <c r="B71" s="23" t="s">
        <v>44</v>
      </c>
      <c r="C71" s="23"/>
      <c r="D71" s="23"/>
      <c r="E71" s="11"/>
      <c r="F71" s="11"/>
      <c r="G71" s="11"/>
      <c r="H71" s="24"/>
      <c r="I71" s="21"/>
    </row>
    <row r="72" spans="1:10" s="19" customFormat="1" x14ac:dyDescent="0.4">
      <c r="A72" s="54"/>
      <c r="B72" s="54" t="s">
        <v>45</v>
      </c>
      <c r="C72" s="54"/>
      <c r="D72" s="54"/>
      <c r="E72" s="54"/>
      <c r="F72" s="54"/>
      <c r="G72" s="54"/>
      <c r="H72" s="55"/>
      <c r="I72" s="56">
        <f>SUM(I73:I75)</f>
        <v>160000</v>
      </c>
    </row>
    <row r="73" spans="1:10" x14ac:dyDescent="0.4">
      <c r="A73" s="20"/>
      <c r="B73" s="23" t="s">
        <v>29</v>
      </c>
      <c r="C73" s="23"/>
      <c r="D73" s="23" t="s">
        <v>30</v>
      </c>
      <c r="E73" s="20"/>
      <c r="F73" s="11"/>
      <c r="G73" s="14">
        <v>60000</v>
      </c>
      <c r="H73" s="24">
        <v>1</v>
      </c>
      <c r="I73" s="21">
        <f t="shared" ref="I73:I74" si="4">G73*H73</f>
        <v>60000</v>
      </c>
    </row>
    <row r="74" spans="1:10" x14ac:dyDescent="0.4">
      <c r="A74" s="20"/>
      <c r="B74" s="23" t="s">
        <v>33</v>
      </c>
      <c r="C74" s="23"/>
      <c r="D74" s="23" t="s">
        <v>90</v>
      </c>
      <c r="E74" s="20"/>
      <c r="F74" s="11"/>
      <c r="G74" s="14">
        <v>100000</v>
      </c>
      <c r="H74" s="24">
        <v>1</v>
      </c>
      <c r="I74" s="21">
        <f t="shared" si="4"/>
        <v>100000</v>
      </c>
      <c r="J74" s="44"/>
    </row>
    <row r="75" spans="1:10" x14ac:dyDescent="0.4">
      <c r="A75" s="20"/>
      <c r="B75" s="23" t="s">
        <v>31</v>
      </c>
      <c r="C75" s="23"/>
      <c r="D75" s="23"/>
      <c r="E75" s="20"/>
      <c r="F75" s="11"/>
      <c r="G75" s="11"/>
      <c r="H75" s="24"/>
      <c r="I75" s="21"/>
    </row>
    <row r="76" spans="1:10" x14ac:dyDescent="0.4">
      <c r="A76" s="25"/>
      <c r="B76" s="25" t="s">
        <v>46</v>
      </c>
      <c r="C76" s="25"/>
      <c r="D76" s="25"/>
      <c r="E76" s="25"/>
      <c r="F76" s="26"/>
      <c r="G76" s="25"/>
      <c r="H76" s="27"/>
      <c r="I76" s="28">
        <f>+I77+I80+I81+I82+I88</f>
        <v>100816.86324845505</v>
      </c>
    </row>
    <row r="77" spans="1:10" x14ac:dyDescent="0.4">
      <c r="A77" s="29"/>
      <c r="B77" s="29" t="s">
        <v>47</v>
      </c>
      <c r="C77" s="29"/>
      <c r="D77" s="29"/>
      <c r="E77" s="29"/>
      <c r="F77" s="29"/>
      <c r="G77" s="29"/>
      <c r="H77" s="30"/>
      <c r="I77" s="31">
        <f>SUM(I78:I79)</f>
        <v>15917.436552208273</v>
      </c>
      <c r="J77" s="44"/>
    </row>
    <row r="78" spans="1:10" x14ac:dyDescent="0.4">
      <c r="A78" s="32"/>
      <c r="B78" s="33" t="s">
        <v>48</v>
      </c>
      <c r="C78" s="33"/>
      <c r="D78" s="33"/>
      <c r="E78" s="32"/>
      <c r="F78" s="34">
        <f>'[1]2026 CB rates'!G31</f>
        <v>444.84615384615387</v>
      </c>
      <c r="G78" s="29"/>
      <c r="H78" s="35">
        <v>0</v>
      </c>
      <c r="I78" s="36">
        <f>F78*H78</f>
        <v>0</v>
      </c>
    </row>
    <row r="79" spans="1:10" x14ac:dyDescent="0.4">
      <c r="A79" s="32"/>
      <c r="B79" s="33" t="s">
        <v>49</v>
      </c>
      <c r="C79" s="33"/>
      <c r="D79" s="33"/>
      <c r="E79" s="32"/>
      <c r="F79" s="34">
        <f>'[1]2026 CB rates'!G32</f>
        <v>349.06659105719899</v>
      </c>
      <c r="G79" s="62">
        <v>3.8</v>
      </c>
      <c r="H79" s="35">
        <v>12</v>
      </c>
      <c r="I79" s="36">
        <f>+F79*G79*H79</f>
        <v>15917.436552208273</v>
      </c>
    </row>
    <row r="80" spans="1:10" x14ac:dyDescent="0.4">
      <c r="A80" s="29"/>
      <c r="B80" s="29" t="s">
        <v>50</v>
      </c>
      <c r="C80" s="29"/>
      <c r="D80" s="29"/>
      <c r="E80" s="29"/>
      <c r="F80" s="34">
        <f>'[1]2026 CB rates'!G29</f>
        <v>858.08030790486839</v>
      </c>
      <c r="G80" s="29">
        <v>1</v>
      </c>
      <c r="H80" s="35">
        <v>12</v>
      </c>
      <c r="I80" s="64">
        <f>+F80*G80*H80</f>
        <v>10296.963694858421</v>
      </c>
      <c r="J80" s="44"/>
    </row>
    <row r="81" spans="1:10" x14ac:dyDescent="0.4">
      <c r="A81" s="29"/>
      <c r="B81" s="29" t="s">
        <v>51</v>
      </c>
      <c r="C81" s="29"/>
      <c r="D81" s="29"/>
      <c r="E81" s="29"/>
      <c r="F81" s="34">
        <f>'[1]2026 CB rates'!G6</f>
        <v>196.33683587029427</v>
      </c>
      <c r="G81" s="62">
        <v>1.3</v>
      </c>
      <c r="H81" s="35">
        <v>12</v>
      </c>
      <c r="I81" s="64">
        <f t="shared" ref="I81:I89" si="5">+F81*G81*H81</f>
        <v>3062.8546395765907</v>
      </c>
      <c r="J81" s="44"/>
    </row>
    <row r="82" spans="1:10" s="37" customFormat="1" x14ac:dyDescent="0.4">
      <c r="A82" s="29"/>
      <c r="B82" s="29" t="s">
        <v>52</v>
      </c>
      <c r="C82" s="29"/>
      <c r="D82" s="29"/>
      <c r="E82" s="29"/>
      <c r="F82" s="29"/>
      <c r="G82" s="38"/>
      <c r="H82" s="35"/>
      <c r="I82" s="64">
        <f>SUM(I83:I87)</f>
        <v>32755.608361811752</v>
      </c>
      <c r="J82" s="68"/>
    </row>
    <row r="83" spans="1:10" s="37" customFormat="1" x14ac:dyDescent="0.4">
      <c r="A83" s="29"/>
      <c r="B83" s="39" t="s">
        <v>24</v>
      </c>
      <c r="C83" s="39"/>
      <c r="D83" s="39"/>
      <c r="E83" s="29"/>
      <c r="F83" s="34">
        <f>'[1]2026 CB rates'!G11</f>
        <v>461.39596751703635</v>
      </c>
      <c r="G83" s="38"/>
      <c r="H83" s="35">
        <v>0</v>
      </c>
      <c r="I83" s="36">
        <f t="shared" si="5"/>
        <v>0</v>
      </c>
    </row>
    <row r="84" spans="1:10" s="37" customFormat="1" x14ac:dyDescent="0.4">
      <c r="A84" s="29"/>
      <c r="B84" s="39" t="s">
        <v>30</v>
      </c>
      <c r="C84" s="39"/>
      <c r="D84" s="39"/>
      <c r="E84" s="29"/>
      <c r="F84" s="34">
        <f>'[1]2026 CB rates'!G13</f>
        <v>788.40033334430973</v>
      </c>
      <c r="G84" s="62">
        <v>3.05</v>
      </c>
      <c r="H84" s="35">
        <v>12</v>
      </c>
      <c r="I84" s="36">
        <f t="shared" si="5"/>
        <v>28855.452200401734</v>
      </c>
    </row>
    <row r="85" spans="1:10" s="37" customFormat="1" x14ac:dyDescent="0.4">
      <c r="A85" s="29"/>
      <c r="B85" s="39" t="s">
        <v>53</v>
      </c>
      <c r="C85" s="39"/>
      <c r="D85" s="39"/>
      <c r="E85" s="29"/>
      <c r="F85" s="34">
        <f>'[1]2026 CB rates'!G15</f>
        <v>512.42602690166984</v>
      </c>
      <c r="G85" s="62">
        <v>0.5</v>
      </c>
      <c r="H85" s="35">
        <v>12</v>
      </c>
      <c r="I85" s="36">
        <f t="shared" si="5"/>
        <v>3074.5561614100188</v>
      </c>
    </row>
    <row r="86" spans="1:10" s="37" customFormat="1" x14ac:dyDescent="0.4">
      <c r="A86" s="29"/>
      <c r="B86" s="39" t="s">
        <v>82</v>
      </c>
      <c r="C86" s="39"/>
      <c r="D86" s="39"/>
      <c r="E86" s="29"/>
      <c r="F86" s="34">
        <v>344</v>
      </c>
      <c r="G86" s="62">
        <v>0.2</v>
      </c>
      <c r="H86" s="35">
        <v>12</v>
      </c>
      <c r="I86" s="36">
        <f t="shared" si="5"/>
        <v>825.59999999999991</v>
      </c>
    </row>
    <row r="87" spans="1:10" s="37" customFormat="1" x14ac:dyDescent="0.4">
      <c r="A87" s="29"/>
      <c r="B87" s="39" t="s">
        <v>54</v>
      </c>
      <c r="C87" s="39"/>
      <c r="D87" s="39"/>
      <c r="E87" s="29"/>
      <c r="F87" s="34">
        <v>0</v>
      </c>
      <c r="G87" s="38"/>
      <c r="H87" s="35">
        <v>0</v>
      </c>
      <c r="I87" s="36">
        <f t="shared" si="5"/>
        <v>0</v>
      </c>
    </row>
    <row r="88" spans="1:10" s="37" customFormat="1" x14ac:dyDescent="0.4">
      <c r="A88" s="29"/>
      <c r="B88" s="29" t="s">
        <v>55</v>
      </c>
      <c r="C88" s="29"/>
      <c r="D88" s="29"/>
      <c r="E88" s="29"/>
      <c r="F88" s="29"/>
      <c r="G88" s="38"/>
      <c r="H88" s="30"/>
      <c r="I88" s="36">
        <f>+I89</f>
        <v>38784</v>
      </c>
    </row>
    <row r="89" spans="1:10" s="37" customFormat="1" x14ac:dyDescent="0.4">
      <c r="A89" s="29"/>
      <c r="B89" s="29" t="s">
        <v>83</v>
      </c>
      <c r="C89" s="29"/>
      <c r="D89" s="29"/>
      <c r="E89" s="29"/>
      <c r="F89" s="34">
        <v>1616</v>
      </c>
      <c r="G89" s="62">
        <v>2</v>
      </c>
      <c r="H89" s="30">
        <v>12</v>
      </c>
      <c r="I89" s="36">
        <f t="shared" si="5"/>
        <v>38784</v>
      </c>
      <c r="J89" s="68"/>
    </row>
    <row r="90" spans="1:10" s="37" customFormat="1" x14ac:dyDescent="0.4">
      <c r="A90" s="29"/>
      <c r="B90" s="29"/>
      <c r="C90" s="29"/>
      <c r="D90" s="29"/>
      <c r="E90" s="29"/>
      <c r="F90" s="29"/>
      <c r="G90" s="38"/>
      <c r="H90" s="30"/>
      <c r="I90" s="31"/>
    </row>
    <row r="91" spans="1:10" s="40" customFormat="1" x14ac:dyDescent="0.4">
      <c r="A91" s="54"/>
      <c r="B91" s="54" t="s">
        <v>56</v>
      </c>
      <c r="C91" s="54"/>
      <c r="D91" s="54"/>
      <c r="E91" s="54"/>
      <c r="F91" s="54"/>
      <c r="G91" s="54"/>
      <c r="H91" s="55"/>
      <c r="I91" s="56">
        <f>I43+I44+I50+I56+I60+I72+I76+I68</f>
        <v>2554222.5132484548</v>
      </c>
      <c r="J91" s="69"/>
    </row>
    <row r="92" spans="1:10" x14ac:dyDescent="0.4">
      <c r="A92" s="20"/>
      <c r="B92" s="23" t="s">
        <v>57</v>
      </c>
      <c r="C92" s="23"/>
      <c r="D92" s="23"/>
      <c r="E92" s="20"/>
      <c r="F92" s="11"/>
      <c r="G92" s="11"/>
      <c r="H92" s="12">
        <v>0.15</v>
      </c>
      <c r="I92" s="21">
        <f>SUM(I91-I60)*0.15</f>
        <v>336633.37698726822</v>
      </c>
    </row>
    <row r="93" spans="1:10" x14ac:dyDescent="0.4">
      <c r="A93" s="20"/>
      <c r="B93" s="23" t="s">
        <v>58</v>
      </c>
      <c r="C93" s="23"/>
      <c r="D93" s="23"/>
      <c r="E93" s="20"/>
      <c r="F93" s="11"/>
      <c r="G93" s="11"/>
      <c r="H93" s="12">
        <v>0.05</v>
      </c>
      <c r="I93" s="21">
        <f>+I60*0.05</f>
        <v>15500</v>
      </c>
    </row>
    <row r="94" spans="1:10" s="19" customFormat="1" x14ac:dyDescent="0.4">
      <c r="A94" s="54"/>
      <c r="B94" s="54" t="s">
        <v>59</v>
      </c>
      <c r="C94" s="54"/>
      <c r="D94" s="54"/>
      <c r="E94" s="54"/>
      <c r="F94" s="54"/>
      <c r="G94" s="54"/>
      <c r="H94" s="55"/>
      <c r="I94" s="56">
        <f>SUM(I92:I93)</f>
        <v>352133.37698726822</v>
      </c>
    </row>
    <row r="95" spans="1:10" x14ac:dyDescent="0.4">
      <c r="A95" s="4"/>
      <c r="B95" s="4" t="s">
        <v>60</v>
      </c>
      <c r="C95" s="4"/>
      <c r="D95" s="4"/>
      <c r="E95" s="4"/>
      <c r="F95" s="4"/>
      <c r="G95" s="4"/>
      <c r="H95" s="60"/>
      <c r="I95" s="61">
        <f>+I94+I91</f>
        <v>2906355.890235723</v>
      </c>
    </row>
    <row r="96" spans="1:10" s="19" customFormat="1" x14ac:dyDescent="0.4">
      <c r="A96" s="54"/>
      <c r="B96" s="54" t="s">
        <v>61</v>
      </c>
      <c r="C96" s="54"/>
      <c r="D96" s="54"/>
      <c r="E96" s="54"/>
      <c r="F96" s="54"/>
      <c r="G96" s="54"/>
      <c r="H96" s="55"/>
      <c r="I96" s="56">
        <f>+I95*0.02</f>
        <v>58127.117804714464</v>
      </c>
    </row>
    <row r="97" spans="1:9" s="22" customFormat="1" x14ac:dyDescent="0.4">
      <c r="A97" s="57"/>
      <c r="B97" s="57" t="s">
        <v>9</v>
      </c>
      <c r="C97" s="57"/>
      <c r="D97" s="57"/>
      <c r="E97" s="57"/>
      <c r="F97" s="57"/>
      <c r="G97" s="57"/>
      <c r="H97" s="58"/>
      <c r="I97" s="59">
        <f>+I96+I95</f>
        <v>2964483.0080404375</v>
      </c>
    </row>
    <row r="98" spans="1:9" x14ac:dyDescent="0.4">
      <c r="B98" s="41" t="e">
        <f>I3+I4+#REF!+I10+#REF!+I11+I12+I45+I46+G51+G52+G57+G61+G62+G63+G64+G66+G67+G69+G73</f>
        <v>#REF!</v>
      </c>
      <c r="C98" s="42" t="s">
        <v>62</v>
      </c>
      <c r="D98" s="22"/>
      <c r="I98" s="44"/>
    </row>
    <row r="99" spans="1:9" s="45" customFormat="1" x14ac:dyDescent="0.4">
      <c r="H99" s="46"/>
    </row>
    <row r="100" spans="1:9" s="45" customFormat="1" x14ac:dyDescent="0.4">
      <c r="H100" s="46"/>
    </row>
    <row r="101" spans="1:9" s="45" customFormat="1" x14ac:dyDescent="0.4">
      <c r="H101" s="46"/>
    </row>
    <row r="102" spans="1:9" s="45" customFormat="1" x14ac:dyDescent="0.4">
      <c r="H102" s="46"/>
    </row>
    <row r="103" spans="1:9" s="45" customFormat="1" x14ac:dyDescent="0.4">
      <c r="H103" s="46">
        <f>1159740-1159691</f>
        <v>49</v>
      </c>
    </row>
    <row r="104" spans="1:9" s="45" customFormat="1" x14ac:dyDescent="0.4">
      <c r="H104" s="46"/>
    </row>
    <row r="105" spans="1:9" s="45" customFormat="1" x14ac:dyDescent="0.4">
      <c r="H105" s="46"/>
    </row>
    <row r="106" spans="1:9" s="45" customFormat="1" x14ac:dyDescent="0.4">
      <c r="H106" s="46"/>
    </row>
  </sheetData>
  <mergeCells count="1">
    <mergeCell ref="F1:H1"/>
  </mergeCells>
  <conditionalFormatting sqref="A3:A42 E3:E42">
    <cfRule type="cellIs" dxfId="0" priority="1" operator="less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ZAIDI, Pervez Haider (CIMMYT-India)</dc:creator>
  <cp:lastModifiedBy>LABUGUEN, Reymunda Caldo (CIMMYT)</cp:lastModifiedBy>
  <dcterms:created xsi:type="dcterms:W3CDTF">2026-01-29T09:41:17Z</dcterms:created>
  <dcterms:modified xsi:type="dcterms:W3CDTF">2026-01-29T15:14:22Z</dcterms:modified>
</cp:coreProperties>
</file>